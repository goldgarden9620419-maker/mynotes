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일정목록" sheetId="2" state="visible" r:id="rId2"/>
    <sheet name="간트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-DD (AAA)"/>
    <numFmt numFmtId="166" formatCode="YYYY-MM-DD"/>
    <numFmt numFmtId="167" formatCode="M/D"/>
    <numFmt numFmtId="168" formatCode="D"/>
    <numFmt numFmtId="169" formatCode="MM-DD"/>
  </numFmts>
  <fonts count="12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08080"/>
      <sz val="9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  <font>
      <name val="맑은 고딕"/>
      <sz val="9"/>
    </font>
    <font>
      <name val="맑은 고딕"/>
      <b val="1"/>
      <sz val="14"/>
    </font>
    <font>
      <name val="맑은 고딕"/>
      <color rgb="000000FF"/>
      <sz val="9"/>
    </font>
    <font>
      <name val="맑은 고딕"/>
      <color rgb="000000FF"/>
      <sz val="11"/>
    </font>
    <font>
      <name val="맑은 고딕"/>
      <b val="1"/>
      <sz val="7"/>
    </font>
    <font>
      <name val="맑은 고딕"/>
      <color theme="1"/>
      <sz val="1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2F3"/>
      </patternFill>
    </fill>
    <fill>
      <patternFill patternType="solid">
        <fgColor rgb="00BFDBFE"/>
      </patternFill>
    </fill>
    <fill>
      <patternFill patternType="solid">
        <fgColor rgb="00E7F0FE"/>
      </patternFill>
    </fill>
    <fill>
      <patternFill patternType="solid">
        <fgColor rgb="003182F6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FFF4E5"/>
      </patternFill>
    </fill>
    <fill>
      <patternFill patternType="solid">
        <fgColor rgb="00F5B971"/>
      </patternFill>
    </fill>
    <fill>
      <patternFill patternType="solid">
        <fgColor rgb="00FDE7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1" pivotButton="0" quotePrefix="0" xfId="0"/>
    <xf numFmtId="165" fontId="9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165" fontId="0" fillId="2" borderId="1" pivotButton="0" quotePrefix="0" xfId="0"/>
    <xf numFmtId="166" fontId="9" fillId="2" borderId="1" applyAlignment="1" pivotButton="0" quotePrefix="0" xfId="0">
      <alignment horizontal="center" vertical="center"/>
    </xf>
    <xf numFmtId="167" fontId="10" fillId="4" borderId="2" applyAlignment="1" pivotButton="0" quotePrefix="0" xfId="0">
      <alignment horizontal="center" vertical="center"/>
    </xf>
    <xf numFmtId="168" fontId="10" fillId="4" borderId="2" applyAlignment="1" pivotButton="0" quotePrefix="0" xfId="0">
      <alignment horizontal="center" vertical="center"/>
    </xf>
    <xf numFmtId="0" fontId="6" fillId="0" borderId="1" pivotButton="0" quotePrefix="0" xfId="0"/>
    <xf numFmtId="169" fontId="2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dxfs count="11">
    <dxf>
      <fill>
        <patternFill patternType="solid">
          <fgColor rgb="00E8F5E9"/>
        </patternFill>
      </fill>
    </dxf>
    <dxf>
      <fill>
        <patternFill patternType="solid">
          <fgColor rgb="00FDE7E9"/>
        </patternFill>
      </fill>
    </dxf>
    <dxf>
      <fill>
        <patternFill patternType="solid">
          <fgColor rgb="00FFF4E5"/>
        </patternFill>
      </fill>
    </dxf>
    <dxf>
      <fill>
        <patternFill patternType="solid">
          <fgColor rgb="00E7F0FE"/>
        </patternFill>
      </fill>
    </dxf>
    <dxf>
      <font>
        <name val="맑은 고딕"/>
        <b val="1"/>
        <color rgb="00C00000"/>
      </font>
    </dxf>
    <dxf>
      <fill>
        <patternFill patternType="solid">
          <fgColor rgb="00A5D6A7"/>
        </patternFill>
      </fill>
    </dxf>
    <dxf>
      <fill>
        <patternFill patternType="solid">
          <fgColor rgb="00F5B971"/>
        </patternFill>
      </fill>
    </dxf>
    <dxf>
      <fill>
        <patternFill patternType="solid">
          <fgColor rgb="003182F6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FFE0E6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4" customWidth="1" min="4" max="4"/>
  </cols>
  <sheetData>
    <row r="1">
      <c r="A1" s="1" t="inlineStr">
        <is>
          <t>업무 일정관리 양식 — 사용 안내</t>
        </is>
      </c>
    </row>
    <row r="2">
      <c r="A2" s="2" t="inlineStr">
        <is>
          <t>일정을 적고 상태만 바꾸면 색이 자동으로 바뀌고, 간트차트가 저절로 그려집니다. 매크로 없는 순수 서식·수식입니다.</t>
        </is>
      </c>
    </row>
    <row r="3"/>
    <row r="4">
      <c r="A4" s="3" t="inlineStr">
        <is>
          <t>■ 작업 순서도</t>
        </is>
      </c>
    </row>
    <row r="5" ht="26" customHeight="1">
      <c r="B5" s="4" t="inlineStr">
        <is>
          <t>① 일정목록</t>
        </is>
      </c>
      <c r="C5" s="5" t="inlineStr">
        <is>
          <t>업무명·담당·시작일·마감일 입력, 상태·우선순위는 드롭다운 선택</t>
        </is>
      </c>
    </row>
    <row r="6">
      <c r="B6" s="6" t="inlineStr">
        <is>
          <t>▼</t>
        </is>
      </c>
    </row>
    <row r="7" ht="26" customHeight="1">
      <c r="B7" s="4" t="inlineStr">
        <is>
          <t>② 상태 관리</t>
        </is>
      </c>
      <c r="C7" s="5" t="inlineStr">
        <is>
          <t>일하면서 상태만 바꾸면 행 색·D-Day·지연 표시가 자동으로 따라옴</t>
        </is>
      </c>
    </row>
    <row r="8">
      <c r="B8" s="6" t="inlineStr">
        <is>
          <t>▼</t>
        </is>
      </c>
    </row>
    <row r="9" ht="26" customHeight="1">
      <c r="B9" s="7" t="inlineStr">
        <is>
          <t>③ 간트차트</t>
        </is>
      </c>
      <c r="C9" s="5" t="inlineStr">
        <is>
          <t>(자동) 일정목록을 그대로 읽어 상태별 색 막대로 8주 일정을 그림</t>
        </is>
      </c>
    </row>
    <row r="10"/>
    <row r="11">
      <c r="A11" s="3" t="inlineStr">
        <is>
          <t>■ 상태별 자동 색 (일정목록 행 / 간트 막대)</t>
        </is>
      </c>
    </row>
    <row r="12">
      <c r="A12" s="8" t="inlineStr">
        <is>
          <t>상태</t>
        </is>
      </c>
      <c r="B12" s="8" t="inlineStr">
        <is>
          <t>목록 행 색</t>
        </is>
      </c>
      <c r="C12" s="8" t="inlineStr">
        <is>
          <t>간트 막대</t>
        </is>
      </c>
      <c r="D12" s="8" t="inlineStr">
        <is>
          <t>설명</t>
        </is>
      </c>
    </row>
    <row r="13">
      <c r="A13" s="9" t="inlineStr">
        <is>
          <t>예정</t>
        </is>
      </c>
      <c r="B13" s="10" t="inlineStr">
        <is>
          <t>예시</t>
        </is>
      </c>
      <c r="C13" s="11" t="inlineStr">
        <is>
          <t>■</t>
        </is>
      </c>
      <c r="D13" s="12" t="inlineStr">
        <is>
          <t>기본 — 간트에 연파랑 막대</t>
        </is>
      </c>
    </row>
    <row r="14">
      <c r="A14" s="9" t="inlineStr">
        <is>
          <t>진행중</t>
        </is>
      </c>
      <c r="B14" s="13" t="inlineStr">
        <is>
          <t>예시</t>
        </is>
      </c>
      <c r="C14" s="14" t="inlineStr">
        <is>
          <t>■</t>
        </is>
      </c>
      <c r="D14" s="12" t="inlineStr">
        <is>
          <t>행이 연파랑, 간트 막대는 진한 파랑</t>
        </is>
      </c>
    </row>
    <row r="15">
      <c r="A15" s="9" t="inlineStr">
        <is>
          <t>완료</t>
        </is>
      </c>
      <c r="B15" s="15" t="inlineStr">
        <is>
          <t>예시</t>
        </is>
      </c>
      <c r="C15" s="16" t="inlineStr">
        <is>
          <t>■</t>
        </is>
      </c>
      <c r="D15" s="12" t="inlineStr">
        <is>
          <t>행·막대가 초록 — D-Day 자리에 ✔ 완료</t>
        </is>
      </c>
    </row>
    <row r="16">
      <c r="A16" s="9" t="inlineStr">
        <is>
          <t>보류</t>
        </is>
      </c>
      <c r="B16" s="17" t="inlineStr">
        <is>
          <t>예시</t>
        </is>
      </c>
      <c r="C16" s="18" t="inlineStr">
        <is>
          <t>■</t>
        </is>
      </c>
      <c r="D16" s="12" t="inlineStr">
        <is>
          <t>행·막대가 주황</t>
        </is>
      </c>
    </row>
    <row r="17">
      <c r="A17" s="9" t="inlineStr">
        <is>
          <t>지연</t>
        </is>
      </c>
      <c r="B17" s="19" t="inlineStr">
        <is>
          <t>예시</t>
        </is>
      </c>
      <c r="C17" s="20" t="inlineStr"/>
      <c r="D17" s="12" t="inlineStr">
        <is>
          <t>마감일이 지났는데 완료가 아니면 자동으로 행이 빨강 + ⚠ 지연 N일</t>
        </is>
      </c>
    </row>
    <row r="18"/>
    <row r="19">
      <c r="A19" s="3" t="inlineStr">
        <is>
          <t>■ 자주 묻는 것</t>
        </is>
      </c>
    </row>
    <row r="20">
      <c r="A20" s="21" t="inlineStr">
        <is>
          <t>· 상태는 어떻게 바꾸나요? — 상태 칸을 클릭하면 나오는 드롭다운(예정/진행중/완료/보류)에서 고르면 끝. 색은 저절로 바뀝니다.</t>
        </is>
      </c>
    </row>
    <row r="21">
      <c r="A21" s="21" t="inlineStr">
        <is>
          <t>· '지연'은 왜 따로 없나요? — 고를 필요가 없습니다. 마감일이 지났는데 완료가 아니면 자동으로 빨간 지연 표시가 붙습니다.</t>
        </is>
      </c>
    </row>
    <row r="22">
      <c r="A22" s="21" t="inlineStr">
        <is>
          <t>· 간트차트 기간을 바꾸려면? — [간트차트] 위쪽 노란 칸의 표시 시작일만 바꾸면 그날부터 8주가 다시 그려집니다 (월요일 권장).</t>
        </is>
      </c>
    </row>
    <row r="23">
      <c r="A23" s="21" t="inlineStr">
        <is>
          <t>· 간트차트에서 회색 세로줄은 주말, 분홍 세로줄은 오늘입니다.</t>
        </is>
      </c>
    </row>
    <row r="24">
      <c r="A24" s="21" t="inlineStr">
        <is>
          <t>· 우선순위를 '높음'으로 고르면 빨간 글씨로 강조됩니다.</t>
        </is>
      </c>
    </row>
    <row r="25">
      <c r="A25" s="21" t="inlineStr">
        <is>
          <t>· 일정은 50건까지 적을 수 있습니다. 더 필요하면 파일을 복사해 월별·프로젝트별로 나눠 쓰는 걸 추천해요.</t>
        </is>
      </c>
    </row>
    <row r="26">
      <c r="A26" s="21" t="inlineStr">
        <is>
          <t>· 예시 일정은 전부 가상입니다 — 지우고 실제 일정을 넣어 쓰세요. 노란 칸 = 입력, 회색 작은 글씨 = 자동 수식(수정 금지).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3" customWidth="1" min="4" max="4"/>
    <col width="13" customWidth="1" min="5" max="5"/>
    <col width="9" customWidth="1" min="6" max="6"/>
    <col width="9" customWidth="1" min="7" max="7"/>
    <col width="34" customWidth="1" min="8" max="8"/>
    <col width="13" customWidth="1" min="9" max="9"/>
  </cols>
  <sheetData>
    <row r="1">
      <c r="A1" s="22" t="inlineStr">
        <is>
          <t>① 일정목록 — 일정 입력과 상태 관리</t>
        </is>
      </c>
    </row>
    <row r="2">
      <c r="A2" s="23" t="inlineStr">
        <is>
          <t>✍ 직접 입력: A~H열 — 구분·업무명·담당·시작일·마감일은 직접 쓰고, 상태·우선순위는 드롭다운에서 선택하세요. 상태를 바꾸면 행 색이 자동으로 바뀝니다.</t>
        </is>
      </c>
    </row>
    <row r="3">
      <c r="A3" s="2" t="inlineStr">
        <is>
          <t>⚙ 자동 계산: I열 D-Day는 자동 (마감 임박·지연·완료 표시). 마감일이 지난 미완료 일정은 자동으로 빨간 '⚠ 지연'이 됩니다. [간트차트]도 자동으로 따라 그려집니다.</t>
        </is>
      </c>
    </row>
    <row r="4">
      <c r="A4" s="8" t="inlineStr">
        <is>
          <t>구분</t>
        </is>
      </c>
      <c r="B4" s="8" t="inlineStr">
        <is>
          <t>업무명</t>
        </is>
      </c>
      <c r="C4" s="8" t="inlineStr">
        <is>
          <t>담당</t>
        </is>
      </c>
      <c r="D4" s="8" t="inlineStr">
        <is>
          <t>시작일</t>
        </is>
      </c>
      <c r="E4" s="8" t="inlineStr">
        <is>
          <t>마감일</t>
        </is>
      </c>
      <c r="F4" s="8" t="inlineStr">
        <is>
          <t>상태</t>
        </is>
      </c>
      <c r="G4" s="8" t="inlineStr">
        <is>
          <t>우선순위</t>
        </is>
      </c>
      <c r="H4" s="8" t="inlineStr">
        <is>
          <t>메모</t>
        </is>
      </c>
      <c r="I4" s="8" t="inlineStr">
        <is>
          <t>D-Day(자동)</t>
        </is>
      </c>
    </row>
    <row r="5">
      <c r="A5" s="24" t="inlineStr">
        <is>
          <t>월말결산</t>
        </is>
      </c>
      <c r="B5" s="25" t="inlineStr">
        <is>
          <t>법인카드 증빙 정리</t>
        </is>
      </c>
      <c r="C5" s="25" t="inlineStr">
        <is>
          <t>김대리</t>
        </is>
      </c>
      <c r="D5" s="26" t="n">
        <v>46281</v>
      </c>
      <c r="E5" s="26" t="n">
        <v>46284</v>
      </c>
      <c r="F5" s="24" t="inlineStr">
        <is>
          <t>진행중</t>
        </is>
      </c>
      <c r="G5" s="24" t="inlineStr">
        <is>
          <t>높음</t>
        </is>
      </c>
      <c r="H5" s="25" t="inlineStr">
        <is>
          <t>지연 표시 예시 — 마감이 지나 자동으로 빨간색</t>
        </is>
      </c>
      <c r="I5" s="27">
        <f>IF($E5="","",IF($F5="완료","✔ 완료",IF($E5&lt;TODAY(),"⚠ 지연 "&amp;(TODAY()-$E5)&amp;"일",IF($E5=TODAY(),"오늘 마감","D-"&amp;($E5-TODAY())))))</f>
        <v/>
      </c>
    </row>
    <row r="6">
      <c r="A6" s="24" t="inlineStr">
        <is>
          <t>월말결산</t>
        </is>
      </c>
      <c r="B6" s="25" t="inlineStr">
        <is>
          <t>카드매출 대사</t>
        </is>
      </c>
      <c r="C6" s="25" t="inlineStr">
        <is>
          <t>김대리</t>
        </is>
      </c>
      <c r="D6" s="26" t="n">
        <v>46287</v>
      </c>
      <c r="E6" s="26" t="n">
        <v>46290</v>
      </c>
      <c r="F6" s="24" t="inlineStr">
        <is>
          <t>완료</t>
        </is>
      </c>
      <c r="G6" s="24" t="inlineStr">
        <is>
          <t>보통</t>
        </is>
      </c>
      <c r="H6" s="25" t="inlineStr"/>
      <c r="I6" s="27">
        <f>IF($E6="","",IF($F6="완료","✔ 완료",IF($E6&lt;TODAY(),"⚠ 지연 "&amp;(TODAY()-$E6)&amp;"일",IF($E6=TODAY(),"오늘 마감","D-"&amp;($E6-TODAY())))))</f>
        <v/>
      </c>
    </row>
    <row r="7">
      <c r="A7" s="24" t="inlineStr">
        <is>
          <t>일반</t>
        </is>
      </c>
      <c r="B7" s="25" t="inlineStr">
        <is>
          <t>사무용품 발주</t>
        </is>
      </c>
      <c r="C7" s="25" t="inlineStr">
        <is>
          <t>박주임</t>
        </is>
      </c>
      <c r="D7" s="26" t="n">
        <v>46286</v>
      </c>
      <c r="E7" s="26" t="n">
        <v>46287</v>
      </c>
      <c r="F7" s="24" t="inlineStr">
        <is>
          <t>완료</t>
        </is>
      </c>
      <c r="G7" s="24" t="inlineStr">
        <is>
          <t>낮음</t>
        </is>
      </c>
      <c r="H7" s="25" t="inlineStr"/>
      <c r="I7" s="27">
        <f>IF($E7="","",IF($F7="완료","✔ 완료",IF($E7&lt;TODAY(),"⚠ 지연 "&amp;(TODAY()-$E7)&amp;"일",IF($E7=TODAY(),"오늘 마감","D-"&amp;($E7-TODAY())))))</f>
        <v/>
      </c>
    </row>
    <row r="8">
      <c r="A8" s="24" t="inlineStr">
        <is>
          <t>일반</t>
        </is>
      </c>
      <c r="B8" s="25" t="inlineStr">
        <is>
          <t>급여 이체 준비</t>
        </is>
      </c>
      <c r="C8" s="25" t="inlineStr">
        <is>
          <t>이과장</t>
        </is>
      </c>
      <c r="D8" s="26" t="n">
        <v>46287</v>
      </c>
      <c r="E8" s="26" t="n">
        <v>46289</v>
      </c>
      <c r="F8" s="24" t="inlineStr">
        <is>
          <t>진행중</t>
        </is>
      </c>
      <c r="G8" s="24" t="inlineStr">
        <is>
          <t>높음</t>
        </is>
      </c>
      <c r="H8" s="25" t="inlineStr">
        <is>
          <t>급여일 25일</t>
        </is>
      </c>
      <c r="I8" s="27">
        <f>IF($E8="","",IF($F8="완료","✔ 완료",IF($E8&lt;TODAY(),"⚠ 지연 "&amp;(TODAY()-$E8)&amp;"일",IF($E8=TODAY(),"오늘 마감","D-"&amp;($E8-TODAY())))))</f>
        <v/>
      </c>
    </row>
    <row r="9">
      <c r="A9" s="24" t="inlineStr">
        <is>
          <t>일반</t>
        </is>
      </c>
      <c r="B9" s="25" t="inlineStr">
        <is>
          <t>거래처 세금계산서 발행</t>
        </is>
      </c>
      <c r="C9" s="25" t="inlineStr">
        <is>
          <t>박주임</t>
        </is>
      </c>
      <c r="D9" s="26" t="n">
        <v>46289</v>
      </c>
      <c r="E9" s="26" t="n">
        <v>46291</v>
      </c>
      <c r="F9" s="24" t="inlineStr">
        <is>
          <t>예정</t>
        </is>
      </c>
      <c r="G9" s="24" t="inlineStr">
        <is>
          <t>보통</t>
        </is>
      </c>
      <c r="H9" s="25" t="inlineStr"/>
      <c r="I9" s="27">
        <f>IF($E9="","",IF($F9="완료","✔ 완료",IF($E9&lt;TODAY(),"⚠ 지연 "&amp;(TODAY()-$E9)&amp;"일",IF($E9=TODAY(),"오늘 마감","D-"&amp;($E9-TODAY())))))</f>
        <v/>
      </c>
    </row>
    <row r="10">
      <c r="A10" s="24" t="inlineStr">
        <is>
          <t>월말결산</t>
        </is>
      </c>
      <c r="B10" s="25" t="inlineStr">
        <is>
          <t>재고 실사 준비</t>
        </is>
      </c>
      <c r="C10" s="25" t="inlineStr">
        <is>
          <t>김대리</t>
        </is>
      </c>
      <c r="D10" s="26" t="n">
        <v>46290</v>
      </c>
      <c r="E10" s="26" t="n">
        <v>46295</v>
      </c>
      <c r="F10" s="24" t="inlineStr">
        <is>
          <t>진행중</t>
        </is>
      </c>
      <c r="G10" s="24" t="inlineStr">
        <is>
          <t>보통</t>
        </is>
      </c>
      <c r="H10" s="25" t="inlineStr"/>
      <c r="I10" s="27">
        <f>IF($E10="","",IF($F10="완료","✔ 완료",IF($E10&lt;TODAY(),"⚠ 지연 "&amp;(TODAY()-$E10)&amp;"일",IF($E10=TODAY(),"오늘 마감","D-"&amp;($E10-TODAY())))))</f>
        <v/>
      </c>
    </row>
    <row r="11">
      <c r="A11" s="24" t="inlineStr">
        <is>
          <t>일반</t>
        </is>
      </c>
      <c r="B11" s="25" t="inlineStr">
        <is>
          <t>보험 갱신 조건 검토</t>
        </is>
      </c>
      <c r="C11" s="25" t="inlineStr">
        <is>
          <t>이과장</t>
        </is>
      </c>
      <c r="D11" s="26" t="n">
        <v>46291</v>
      </c>
      <c r="E11" s="26" t="n">
        <v>46297</v>
      </c>
      <c r="F11" s="24" t="inlineStr">
        <is>
          <t>보류</t>
        </is>
      </c>
      <c r="G11" s="24" t="inlineStr">
        <is>
          <t>낮음</t>
        </is>
      </c>
      <c r="H11" s="25" t="inlineStr">
        <is>
          <t>견적 회신 대기</t>
        </is>
      </c>
      <c r="I11" s="27">
        <f>IF($E11="","",IF($F11="완료","✔ 완료",IF($E11&lt;TODAY(),"⚠ 지연 "&amp;(TODAY()-$E11)&amp;"일",IF($E11=TODAY(),"오늘 마감","D-"&amp;($E11-TODAY())))))</f>
        <v/>
      </c>
    </row>
    <row r="12">
      <c r="A12" s="24" t="inlineStr">
        <is>
          <t>월말결산</t>
        </is>
      </c>
      <c r="B12" s="25" t="inlineStr">
        <is>
          <t>월 마감 전표 정리</t>
        </is>
      </c>
      <c r="C12" s="25" t="inlineStr">
        <is>
          <t>김대리</t>
        </is>
      </c>
      <c r="D12" s="26" t="n">
        <v>46294</v>
      </c>
      <c r="E12" s="26" t="n">
        <v>46297</v>
      </c>
      <c r="F12" s="24" t="inlineStr">
        <is>
          <t>예정</t>
        </is>
      </c>
      <c r="G12" s="24" t="inlineStr">
        <is>
          <t>높음</t>
        </is>
      </c>
      <c r="H12" s="25" t="inlineStr"/>
      <c r="I12" s="27">
        <f>IF($E12="","",IF($F12="완료","✔ 완료",IF($E12&lt;TODAY(),"⚠ 지연 "&amp;(TODAY()-$E12)&amp;"일",IF($E12=TODAY(),"오늘 마감","D-"&amp;($E12-TODAY())))))</f>
        <v/>
      </c>
    </row>
    <row r="13">
      <c r="A13" s="24" t="inlineStr">
        <is>
          <t>세무</t>
        </is>
      </c>
      <c r="B13" s="25" t="inlineStr">
        <is>
          <t>부가세 예정신고 자료 취합</t>
        </is>
      </c>
      <c r="C13" s="25" t="inlineStr">
        <is>
          <t>이과장</t>
        </is>
      </c>
      <c r="D13" s="26" t="n">
        <v>46300</v>
      </c>
      <c r="E13" s="26" t="n">
        <v>46307</v>
      </c>
      <c r="F13" s="24" t="inlineStr">
        <is>
          <t>예정</t>
        </is>
      </c>
      <c r="G13" s="24" t="inlineStr">
        <is>
          <t>높음</t>
        </is>
      </c>
      <c r="H13" s="25" t="inlineStr"/>
      <c r="I13" s="27">
        <f>IF($E13="","",IF($F13="완료","✔ 완료",IF($E13&lt;TODAY(),"⚠ 지연 "&amp;(TODAY()-$E13)&amp;"일",IF($E13=TODAY(),"오늘 마감","D-"&amp;($E13-TODAY())))))</f>
        <v/>
      </c>
    </row>
    <row r="14">
      <c r="A14" s="24" t="inlineStr">
        <is>
          <t>일반</t>
        </is>
      </c>
      <c r="B14" s="25" t="inlineStr">
        <is>
          <t>4대보험 취득·상실 신고</t>
        </is>
      </c>
      <c r="C14" s="25" t="inlineStr">
        <is>
          <t>박주임</t>
        </is>
      </c>
      <c r="D14" s="26" t="n">
        <v>46301</v>
      </c>
      <c r="E14" s="26" t="n">
        <v>46303</v>
      </c>
      <c r="F14" s="24" t="inlineStr">
        <is>
          <t>예정</t>
        </is>
      </c>
      <c r="G14" s="24" t="inlineStr">
        <is>
          <t>보통</t>
        </is>
      </c>
      <c r="H14" s="25" t="inlineStr"/>
      <c r="I14" s="27">
        <f>IF($E14="","",IF($F14="완료","✔ 완료",IF($E14&lt;TODAY(),"⚠ 지연 "&amp;(TODAY()-$E14)&amp;"일",IF($E14=TODAY(),"오늘 마감","D-"&amp;($E14-TODAY())))))</f>
        <v/>
      </c>
    </row>
    <row r="15">
      <c r="A15" s="24" t="inlineStr">
        <is>
          <t>월말결산</t>
        </is>
      </c>
      <c r="B15" s="25" t="inlineStr">
        <is>
          <t>결산명세서 작성·검증</t>
        </is>
      </c>
      <c r="C15" s="25" t="inlineStr">
        <is>
          <t>김대리</t>
        </is>
      </c>
      <c r="D15" s="26" t="n">
        <v>46302</v>
      </c>
      <c r="E15" s="26" t="n">
        <v>46308</v>
      </c>
      <c r="F15" s="24" t="inlineStr">
        <is>
          <t>예정</t>
        </is>
      </c>
      <c r="G15" s="24" t="inlineStr">
        <is>
          <t>높음</t>
        </is>
      </c>
      <c r="H15" s="25" t="inlineStr">
        <is>
          <t>월말 결산 양식 활용</t>
        </is>
      </c>
      <c r="I15" s="27">
        <f>IF($E15="","",IF($F15="완료","✔ 완료",IF($E15&lt;TODAY(),"⚠ 지연 "&amp;(TODAY()-$E15)&amp;"일",IF($E15=TODAY(),"오늘 마감","D-"&amp;($E15-TODAY())))))</f>
        <v/>
      </c>
    </row>
    <row r="16">
      <c r="A16" s="24" t="inlineStr">
        <is>
          <t>월말결산</t>
        </is>
      </c>
      <c r="B16" s="25" t="inlineStr">
        <is>
          <t>대표님 월간 보고</t>
        </is>
      </c>
      <c r="C16" s="25" t="inlineStr">
        <is>
          <t>이과장</t>
        </is>
      </c>
      <c r="D16" s="26" t="n">
        <v>46309</v>
      </c>
      <c r="E16" s="26" t="n">
        <v>46310</v>
      </c>
      <c r="F16" s="24" t="inlineStr">
        <is>
          <t>예정</t>
        </is>
      </c>
      <c r="G16" s="24" t="inlineStr">
        <is>
          <t>높음</t>
        </is>
      </c>
      <c r="H16" s="25" t="inlineStr"/>
      <c r="I16" s="27">
        <f>IF($E16="","",IF($F16="완료","✔ 완료",IF($E16&lt;TODAY(),"⚠ 지연 "&amp;(TODAY()-$E16)&amp;"일",IF($E16=TODAY(),"오늘 마감","D-"&amp;($E16-TODAY())))))</f>
        <v/>
      </c>
    </row>
    <row r="17">
      <c r="A17" s="28" t="n"/>
      <c r="B17" s="29" t="n"/>
      <c r="C17" s="29" t="n"/>
      <c r="D17" s="30" t="n"/>
      <c r="E17" s="30" t="n"/>
      <c r="F17" s="28" t="n"/>
      <c r="G17" s="28" t="n"/>
      <c r="H17" s="29" t="n"/>
      <c r="I17" s="27">
        <f>IF($E17="","",IF($F17="완료","✔ 완료",IF($E17&lt;TODAY(),"⚠ 지연 "&amp;(TODAY()-$E17)&amp;"일",IF($E17=TODAY(),"오늘 마감","D-"&amp;($E17-TODAY())))))</f>
        <v/>
      </c>
    </row>
    <row r="18">
      <c r="A18" s="28" t="n"/>
      <c r="B18" s="29" t="n"/>
      <c r="C18" s="29" t="n"/>
      <c r="D18" s="30" t="n"/>
      <c r="E18" s="30" t="n"/>
      <c r="F18" s="28" t="n"/>
      <c r="G18" s="28" t="n"/>
      <c r="H18" s="29" t="n"/>
      <c r="I18" s="27">
        <f>IF($E18="","",IF($F18="완료","✔ 완료",IF($E18&lt;TODAY(),"⚠ 지연 "&amp;(TODAY()-$E18)&amp;"일",IF($E18=TODAY(),"오늘 마감","D-"&amp;($E18-TODAY())))))</f>
        <v/>
      </c>
    </row>
    <row r="19">
      <c r="A19" s="28" t="n"/>
      <c r="B19" s="29" t="n"/>
      <c r="C19" s="29" t="n"/>
      <c r="D19" s="30" t="n"/>
      <c r="E19" s="30" t="n"/>
      <c r="F19" s="28" t="n"/>
      <c r="G19" s="28" t="n"/>
      <c r="H19" s="29" t="n"/>
      <c r="I19" s="27">
        <f>IF($E19="","",IF($F19="완료","✔ 완료",IF($E19&lt;TODAY(),"⚠ 지연 "&amp;(TODAY()-$E19)&amp;"일",IF($E19=TODAY(),"오늘 마감","D-"&amp;($E19-TODAY())))))</f>
        <v/>
      </c>
    </row>
    <row r="20">
      <c r="A20" s="28" t="n"/>
      <c r="B20" s="29" t="n"/>
      <c r="C20" s="29" t="n"/>
      <c r="D20" s="30" t="n"/>
      <c r="E20" s="30" t="n"/>
      <c r="F20" s="28" t="n"/>
      <c r="G20" s="28" t="n"/>
      <c r="H20" s="29" t="n"/>
      <c r="I20" s="27">
        <f>IF($E20="","",IF($F20="완료","✔ 완료",IF($E20&lt;TODAY(),"⚠ 지연 "&amp;(TODAY()-$E20)&amp;"일",IF($E20=TODAY(),"오늘 마감","D-"&amp;($E20-TODAY())))))</f>
        <v/>
      </c>
    </row>
    <row r="21">
      <c r="A21" s="28" t="n"/>
      <c r="B21" s="29" t="n"/>
      <c r="C21" s="29" t="n"/>
      <c r="D21" s="30" t="n"/>
      <c r="E21" s="30" t="n"/>
      <c r="F21" s="28" t="n"/>
      <c r="G21" s="28" t="n"/>
      <c r="H21" s="29" t="n"/>
      <c r="I21" s="27">
        <f>IF($E21="","",IF($F21="완료","✔ 완료",IF($E21&lt;TODAY(),"⚠ 지연 "&amp;(TODAY()-$E21)&amp;"일",IF($E21=TODAY(),"오늘 마감","D-"&amp;($E21-TODAY())))))</f>
        <v/>
      </c>
    </row>
    <row r="22">
      <c r="A22" s="28" t="n"/>
      <c r="B22" s="29" t="n"/>
      <c r="C22" s="29" t="n"/>
      <c r="D22" s="30" t="n"/>
      <c r="E22" s="30" t="n"/>
      <c r="F22" s="28" t="n"/>
      <c r="G22" s="28" t="n"/>
      <c r="H22" s="29" t="n"/>
      <c r="I22" s="27">
        <f>IF($E22="","",IF($F22="완료","✔ 완료",IF($E22&lt;TODAY(),"⚠ 지연 "&amp;(TODAY()-$E22)&amp;"일",IF($E22=TODAY(),"오늘 마감","D-"&amp;($E22-TODAY())))))</f>
        <v/>
      </c>
    </row>
    <row r="23">
      <c r="A23" s="28" t="n"/>
      <c r="B23" s="29" t="n"/>
      <c r="C23" s="29" t="n"/>
      <c r="D23" s="30" t="n"/>
      <c r="E23" s="30" t="n"/>
      <c r="F23" s="28" t="n"/>
      <c r="G23" s="28" t="n"/>
      <c r="H23" s="29" t="n"/>
      <c r="I23" s="27">
        <f>IF($E23="","",IF($F23="완료","✔ 완료",IF($E23&lt;TODAY(),"⚠ 지연 "&amp;(TODAY()-$E23)&amp;"일",IF($E23=TODAY(),"오늘 마감","D-"&amp;($E23-TODAY())))))</f>
        <v/>
      </c>
    </row>
    <row r="24">
      <c r="A24" s="28" t="n"/>
      <c r="B24" s="29" t="n"/>
      <c r="C24" s="29" t="n"/>
      <c r="D24" s="30" t="n"/>
      <c r="E24" s="30" t="n"/>
      <c r="F24" s="28" t="n"/>
      <c r="G24" s="28" t="n"/>
      <c r="H24" s="29" t="n"/>
      <c r="I24" s="27">
        <f>IF($E24="","",IF($F24="완료","✔ 완료",IF($E24&lt;TODAY(),"⚠ 지연 "&amp;(TODAY()-$E24)&amp;"일",IF($E24=TODAY(),"오늘 마감","D-"&amp;($E24-TODAY())))))</f>
        <v/>
      </c>
    </row>
    <row r="25">
      <c r="A25" s="28" t="n"/>
      <c r="B25" s="29" t="n"/>
      <c r="C25" s="29" t="n"/>
      <c r="D25" s="30" t="n"/>
      <c r="E25" s="30" t="n"/>
      <c r="F25" s="28" t="n"/>
      <c r="G25" s="28" t="n"/>
      <c r="H25" s="29" t="n"/>
      <c r="I25" s="27">
        <f>IF($E25="","",IF($F25="완료","✔ 완료",IF($E25&lt;TODAY(),"⚠ 지연 "&amp;(TODAY()-$E25)&amp;"일",IF($E25=TODAY(),"오늘 마감","D-"&amp;($E25-TODAY())))))</f>
        <v/>
      </c>
    </row>
    <row r="26">
      <c r="A26" s="28" t="n"/>
      <c r="B26" s="29" t="n"/>
      <c r="C26" s="29" t="n"/>
      <c r="D26" s="30" t="n"/>
      <c r="E26" s="30" t="n"/>
      <c r="F26" s="28" t="n"/>
      <c r="G26" s="28" t="n"/>
      <c r="H26" s="29" t="n"/>
      <c r="I26" s="27">
        <f>IF($E26="","",IF($F26="완료","✔ 완료",IF($E26&lt;TODAY(),"⚠ 지연 "&amp;(TODAY()-$E26)&amp;"일",IF($E26=TODAY(),"오늘 마감","D-"&amp;($E26-TODAY())))))</f>
        <v/>
      </c>
    </row>
    <row r="27">
      <c r="A27" s="28" t="n"/>
      <c r="B27" s="29" t="n"/>
      <c r="C27" s="29" t="n"/>
      <c r="D27" s="30" t="n"/>
      <c r="E27" s="30" t="n"/>
      <c r="F27" s="28" t="n"/>
      <c r="G27" s="28" t="n"/>
      <c r="H27" s="29" t="n"/>
      <c r="I27" s="27">
        <f>IF($E27="","",IF($F27="완료","✔ 완료",IF($E27&lt;TODAY(),"⚠ 지연 "&amp;(TODAY()-$E27)&amp;"일",IF($E27=TODAY(),"오늘 마감","D-"&amp;($E27-TODAY())))))</f>
        <v/>
      </c>
    </row>
    <row r="28">
      <c r="A28" s="28" t="n"/>
      <c r="B28" s="29" t="n"/>
      <c r="C28" s="29" t="n"/>
      <c r="D28" s="30" t="n"/>
      <c r="E28" s="30" t="n"/>
      <c r="F28" s="28" t="n"/>
      <c r="G28" s="28" t="n"/>
      <c r="H28" s="29" t="n"/>
      <c r="I28" s="27">
        <f>IF($E28="","",IF($F28="완료","✔ 완료",IF($E28&lt;TODAY(),"⚠ 지연 "&amp;(TODAY()-$E28)&amp;"일",IF($E28=TODAY(),"오늘 마감","D-"&amp;($E28-TODAY())))))</f>
        <v/>
      </c>
    </row>
    <row r="29">
      <c r="A29" s="28" t="n"/>
      <c r="B29" s="29" t="n"/>
      <c r="C29" s="29" t="n"/>
      <c r="D29" s="30" t="n"/>
      <c r="E29" s="30" t="n"/>
      <c r="F29" s="28" t="n"/>
      <c r="G29" s="28" t="n"/>
      <c r="H29" s="29" t="n"/>
      <c r="I29" s="27">
        <f>IF($E29="","",IF($F29="완료","✔ 완료",IF($E29&lt;TODAY(),"⚠ 지연 "&amp;(TODAY()-$E29)&amp;"일",IF($E29=TODAY(),"오늘 마감","D-"&amp;($E29-TODAY())))))</f>
        <v/>
      </c>
    </row>
    <row r="30">
      <c r="A30" s="28" t="n"/>
      <c r="B30" s="29" t="n"/>
      <c r="C30" s="29" t="n"/>
      <c r="D30" s="30" t="n"/>
      <c r="E30" s="30" t="n"/>
      <c r="F30" s="28" t="n"/>
      <c r="G30" s="28" t="n"/>
      <c r="H30" s="29" t="n"/>
      <c r="I30" s="27">
        <f>IF($E30="","",IF($F30="완료","✔ 완료",IF($E30&lt;TODAY(),"⚠ 지연 "&amp;(TODAY()-$E30)&amp;"일",IF($E30=TODAY(),"오늘 마감","D-"&amp;($E30-TODAY())))))</f>
        <v/>
      </c>
    </row>
    <row r="31">
      <c r="A31" s="28" t="n"/>
      <c r="B31" s="29" t="n"/>
      <c r="C31" s="29" t="n"/>
      <c r="D31" s="30" t="n"/>
      <c r="E31" s="30" t="n"/>
      <c r="F31" s="28" t="n"/>
      <c r="G31" s="28" t="n"/>
      <c r="H31" s="29" t="n"/>
      <c r="I31" s="27">
        <f>IF($E31="","",IF($F31="완료","✔ 완료",IF($E31&lt;TODAY(),"⚠ 지연 "&amp;(TODAY()-$E31)&amp;"일",IF($E31=TODAY(),"오늘 마감","D-"&amp;($E31-TODAY())))))</f>
        <v/>
      </c>
    </row>
    <row r="32">
      <c r="A32" s="28" t="n"/>
      <c r="B32" s="29" t="n"/>
      <c r="C32" s="29" t="n"/>
      <c r="D32" s="30" t="n"/>
      <c r="E32" s="30" t="n"/>
      <c r="F32" s="28" t="n"/>
      <c r="G32" s="28" t="n"/>
      <c r="H32" s="29" t="n"/>
      <c r="I32" s="27">
        <f>IF($E32="","",IF($F32="완료","✔ 완료",IF($E32&lt;TODAY(),"⚠ 지연 "&amp;(TODAY()-$E32)&amp;"일",IF($E32=TODAY(),"오늘 마감","D-"&amp;($E32-TODAY())))))</f>
        <v/>
      </c>
    </row>
    <row r="33">
      <c r="A33" s="28" t="n"/>
      <c r="B33" s="29" t="n"/>
      <c r="C33" s="29" t="n"/>
      <c r="D33" s="30" t="n"/>
      <c r="E33" s="30" t="n"/>
      <c r="F33" s="28" t="n"/>
      <c r="G33" s="28" t="n"/>
      <c r="H33" s="29" t="n"/>
      <c r="I33" s="27">
        <f>IF($E33="","",IF($F33="완료","✔ 완료",IF($E33&lt;TODAY(),"⚠ 지연 "&amp;(TODAY()-$E33)&amp;"일",IF($E33=TODAY(),"오늘 마감","D-"&amp;($E33-TODAY())))))</f>
        <v/>
      </c>
    </row>
    <row r="34">
      <c r="A34" s="28" t="n"/>
      <c r="B34" s="29" t="n"/>
      <c r="C34" s="29" t="n"/>
      <c r="D34" s="30" t="n"/>
      <c r="E34" s="30" t="n"/>
      <c r="F34" s="28" t="n"/>
      <c r="G34" s="28" t="n"/>
      <c r="H34" s="29" t="n"/>
      <c r="I34" s="27">
        <f>IF($E34="","",IF($F34="완료","✔ 완료",IF($E34&lt;TODAY(),"⚠ 지연 "&amp;(TODAY()-$E34)&amp;"일",IF($E34=TODAY(),"오늘 마감","D-"&amp;($E34-TODAY())))))</f>
        <v/>
      </c>
    </row>
    <row r="35">
      <c r="A35" s="28" t="n"/>
      <c r="B35" s="29" t="n"/>
      <c r="C35" s="29" t="n"/>
      <c r="D35" s="30" t="n"/>
      <c r="E35" s="30" t="n"/>
      <c r="F35" s="28" t="n"/>
      <c r="G35" s="28" t="n"/>
      <c r="H35" s="29" t="n"/>
      <c r="I35" s="27">
        <f>IF($E35="","",IF($F35="완료","✔ 완료",IF($E35&lt;TODAY(),"⚠ 지연 "&amp;(TODAY()-$E35)&amp;"일",IF($E35=TODAY(),"오늘 마감","D-"&amp;($E35-TODAY())))))</f>
        <v/>
      </c>
    </row>
    <row r="36">
      <c r="A36" s="28" t="n"/>
      <c r="B36" s="29" t="n"/>
      <c r="C36" s="29" t="n"/>
      <c r="D36" s="30" t="n"/>
      <c r="E36" s="30" t="n"/>
      <c r="F36" s="28" t="n"/>
      <c r="G36" s="28" t="n"/>
      <c r="H36" s="29" t="n"/>
      <c r="I36" s="27">
        <f>IF($E36="","",IF($F36="완료","✔ 완료",IF($E36&lt;TODAY(),"⚠ 지연 "&amp;(TODAY()-$E36)&amp;"일",IF($E36=TODAY(),"오늘 마감","D-"&amp;($E36-TODAY())))))</f>
        <v/>
      </c>
    </row>
    <row r="37">
      <c r="A37" s="28" t="n"/>
      <c r="B37" s="29" t="n"/>
      <c r="C37" s="29" t="n"/>
      <c r="D37" s="30" t="n"/>
      <c r="E37" s="30" t="n"/>
      <c r="F37" s="28" t="n"/>
      <c r="G37" s="28" t="n"/>
      <c r="H37" s="29" t="n"/>
      <c r="I37" s="27">
        <f>IF($E37="","",IF($F37="완료","✔ 완료",IF($E37&lt;TODAY(),"⚠ 지연 "&amp;(TODAY()-$E37)&amp;"일",IF($E37=TODAY(),"오늘 마감","D-"&amp;($E37-TODAY())))))</f>
        <v/>
      </c>
    </row>
    <row r="38">
      <c r="A38" s="28" t="n"/>
      <c r="B38" s="29" t="n"/>
      <c r="C38" s="29" t="n"/>
      <c r="D38" s="30" t="n"/>
      <c r="E38" s="30" t="n"/>
      <c r="F38" s="28" t="n"/>
      <c r="G38" s="28" t="n"/>
      <c r="H38" s="29" t="n"/>
      <c r="I38" s="27">
        <f>IF($E38="","",IF($F38="완료","✔ 완료",IF($E38&lt;TODAY(),"⚠ 지연 "&amp;(TODAY()-$E38)&amp;"일",IF($E38=TODAY(),"오늘 마감","D-"&amp;($E38-TODAY())))))</f>
        <v/>
      </c>
    </row>
    <row r="39">
      <c r="A39" s="28" t="n"/>
      <c r="B39" s="29" t="n"/>
      <c r="C39" s="29" t="n"/>
      <c r="D39" s="30" t="n"/>
      <c r="E39" s="30" t="n"/>
      <c r="F39" s="28" t="n"/>
      <c r="G39" s="28" t="n"/>
      <c r="H39" s="29" t="n"/>
      <c r="I39" s="27">
        <f>IF($E39="","",IF($F39="완료","✔ 완료",IF($E39&lt;TODAY(),"⚠ 지연 "&amp;(TODAY()-$E39)&amp;"일",IF($E39=TODAY(),"오늘 마감","D-"&amp;($E39-TODAY())))))</f>
        <v/>
      </c>
    </row>
    <row r="40">
      <c r="A40" s="28" t="n"/>
      <c r="B40" s="29" t="n"/>
      <c r="C40" s="29" t="n"/>
      <c r="D40" s="30" t="n"/>
      <c r="E40" s="30" t="n"/>
      <c r="F40" s="28" t="n"/>
      <c r="G40" s="28" t="n"/>
      <c r="H40" s="29" t="n"/>
      <c r="I40" s="27">
        <f>IF($E40="","",IF($F40="완료","✔ 완료",IF($E40&lt;TODAY(),"⚠ 지연 "&amp;(TODAY()-$E40)&amp;"일",IF($E40=TODAY(),"오늘 마감","D-"&amp;($E40-TODAY())))))</f>
        <v/>
      </c>
    </row>
    <row r="41">
      <c r="A41" s="28" t="n"/>
      <c r="B41" s="29" t="n"/>
      <c r="C41" s="29" t="n"/>
      <c r="D41" s="30" t="n"/>
      <c r="E41" s="30" t="n"/>
      <c r="F41" s="28" t="n"/>
      <c r="G41" s="28" t="n"/>
      <c r="H41" s="29" t="n"/>
      <c r="I41" s="27">
        <f>IF($E41="","",IF($F41="완료","✔ 완료",IF($E41&lt;TODAY(),"⚠ 지연 "&amp;(TODAY()-$E41)&amp;"일",IF($E41=TODAY(),"오늘 마감","D-"&amp;($E41-TODAY())))))</f>
        <v/>
      </c>
    </row>
    <row r="42">
      <c r="A42" s="28" t="n"/>
      <c r="B42" s="29" t="n"/>
      <c r="C42" s="29" t="n"/>
      <c r="D42" s="30" t="n"/>
      <c r="E42" s="30" t="n"/>
      <c r="F42" s="28" t="n"/>
      <c r="G42" s="28" t="n"/>
      <c r="H42" s="29" t="n"/>
      <c r="I42" s="27">
        <f>IF($E42="","",IF($F42="완료","✔ 완료",IF($E42&lt;TODAY(),"⚠ 지연 "&amp;(TODAY()-$E42)&amp;"일",IF($E42=TODAY(),"오늘 마감","D-"&amp;($E42-TODAY())))))</f>
        <v/>
      </c>
    </row>
    <row r="43">
      <c r="A43" s="28" t="n"/>
      <c r="B43" s="29" t="n"/>
      <c r="C43" s="29" t="n"/>
      <c r="D43" s="30" t="n"/>
      <c r="E43" s="30" t="n"/>
      <c r="F43" s="28" t="n"/>
      <c r="G43" s="28" t="n"/>
      <c r="H43" s="29" t="n"/>
      <c r="I43" s="27">
        <f>IF($E43="","",IF($F43="완료","✔ 완료",IF($E43&lt;TODAY(),"⚠ 지연 "&amp;(TODAY()-$E43)&amp;"일",IF($E43=TODAY(),"오늘 마감","D-"&amp;($E43-TODAY())))))</f>
        <v/>
      </c>
    </row>
    <row r="44">
      <c r="A44" s="28" t="n"/>
      <c r="B44" s="29" t="n"/>
      <c r="C44" s="29" t="n"/>
      <c r="D44" s="30" t="n"/>
      <c r="E44" s="30" t="n"/>
      <c r="F44" s="28" t="n"/>
      <c r="G44" s="28" t="n"/>
      <c r="H44" s="29" t="n"/>
      <c r="I44" s="27">
        <f>IF($E44="","",IF($F44="완료","✔ 완료",IF($E44&lt;TODAY(),"⚠ 지연 "&amp;(TODAY()-$E44)&amp;"일",IF($E44=TODAY(),"오늘 마감","D-"&amp;($E44-TODAY())))))</f>
        <v/>
      </c>
    </row>
    <row r="45">
      <c r="A45" s="28" t="n"/>
      <c r="B45" s="29" t="n"/>
      <c r="C45" s="29" t="n"/>
      <c r="D45" s="30" t="n"/>
      <c r="E45" s="30" t="n"/>
      <c r="F45" s="28" t="n"/>
      <c r="G45" s="28" t="n"/>
      <c r="H45" s="29" t="n"/>
      <c r="I45" s="27">
        <f>IF($E45="","",IF($F45="완료","✔ 완료",IF($E45&lt;TODAY(),"⚠ 지연 "&amp;(TODAY()-$E45)&amp;"일",IF($E45=TODAY(),"오늘 마감","D-"&amp;($E45-TODAY())))))</f>
        <v/>
      </c>
    </row>
    <row r="46">
      <c r="A46" s="28" t="n"/>
      <c r="B46" s="29" t="n"/>
      <c r="C46" s="29" t="n"/>
      <c r="D46" s="30" t="n"/>
      <c r="E46" s="30" t="n"/>
      <c r="F46" s="28" t="n"/>
      <c r="G46" s="28" t="n"/>
      <c r="H46" s="29" t="n"/>
      <c r="I46" s="27">
        <f>IF($E46="","",IF($F46="완료","✔ 완료",IF($E46&lt;TODAY(),"⚠ 지연 "&amp;(TODAY()-$E46)&amp;"일",IF($E46=TODAY(),"오늘 마감","D-"&amp;($E46-TODAY())))))</f>
        <v/>
      </c>
    </row>
    <row r="47">
      <c r="A47" s="28" t="n"/>
      <c r="B47" s="29" t="n"/>
      <c r="C47" s="29" t="n"/>
      <c r="D47" s="30" t="n"/>
      <c r="E47" s="30" t="n"/>
      <c r="F47" s="28" t="n"/>
      <c r="G47" s="28" t="n"/>
      <c r="H47" s="29" t="n"/>
      <c r="I47" s="27">
        <f>IF($E47="","",IF($F47="완료","✔ 완료",IF($E47&lt;TODAY(),"⚠ 지연 "&amp;(TODAY()-$E47)&amp;"일",IF($E47=TODAY(),"오늘 마감","D-"&amp;($E47-TODAY())))))</f>
        <v/>
      </c>
    </row>
    <row r="48">
      <c r="A48" s="28" t="n"/>
      <c r="B48" s="29" t="n"/>
      <c r="C48" s="29" t="n"/>
      <c r="D48" s="30" t="n"/>
      <c r="E48" s="30" t="n"/>
      <c r="F48" s="28" t="n"/>
      <c r="G48" s="28" t="n"/>
      <c r="H48" s="29" t="n"/>
      <c r="I48" s="27">
        <f>IF($E48="","",IF($F48="완료","✔ 완료",IF($E48&lt;TODAY(),"⚠ 지연 "&amp;(TODAY()-$E48)&amp;"일",IF($E48=TODAY(),"오늘 마감","D-"&amp;($E48-TODAY())))))</f>
        <v/>
      </c>
    </row>
    <row r="49">
      <c r="A49" s="28" t="n"/>
      <c r="B49" s="29" t="n"/>
      <c r="C49" s="29" t="n"/>
      <c r="D49" s="30" t="n"/>
      <c r="E49" s="30" t="n"/>
      <c r="F49" s="28" t="n"/>
      <c r="G49" s="28" t="n"/>
      <c r="H49" s="29" t="n"/>
      <c r="I49" s="27">
        <f>IF($E49="","",IF($F49="완료","✔ 완료",IF($E49&lt;TODAY(),"⚠ 지연 "&amp;(TODAY()-$E49)&amp;"일",IF($E49=TODAY(),"오늘 마감","D-"&amp;($E49-TODAY())))))</f>
        <v/>
      </c>
    </row>
    <row r="50">
      <c r="A50" s="28" t="n"/>
      <c r="B50" s="29" t="n"/>
      <c r="C50" s="29" t="n"/>
      <c r="D50" s="30" t="n"/>
      <c r="E50" s="30" t="n"/>
      <c r="F50" s="28" t="n"/>
      <c r="G50" s="28" t="n"/>
      <c r="H50" s="29" t="n"/>
      <c r="I50" s="27">
        <f>IF($E50="","",IF($F50="완료","✔ 완료",IF($E50&lt;TODAY(),"⚠ 지연 "&amp;(TODAY()-$E50)&amp;"일",IF($E50=TODAY(),"오늘 마감","D-"&amp;($E50-TODAY())))))</f>
        <v/>
      </c>
    </row>
    <row r="51">
      <c r="A51" s="28" t="n"/>
      <c r="B51" s="29" t="n"/>
      <c r="C51" s="29" t="n"/>
      <c r="D51" s="30" t="n"/>
      <c r="E51" s="30" t="n"/>
      <c r="F51" s="28" t="n"/>
      <c r="G51" s="28" t="n"/>
      <c r="H51" s="29" t="n"/>
      <c r="I51" s="27">
        <f>IF($E51="","",IF($F51="완료","✔ 완료",IF($E51&lt;TODAY(),"⚠ 지연 "&amp;(TODAY()-$E51)&amp;"일",IF($E51=TODAY(),"오늘 마감","D-"&amp;($E51-TODAY())))))</f>
        <v/>
      </c>
    </row>
    <row r="52">
      <c r="A52" s="28" t="n"/>
      <c r="B52" s="29" t="n"/>
      <c r="C52" s="29" t="n"/>
      <c r="D52" s="30" t="n"/>
      <c r="E52" s="30" t="n"/>
      <c r="F52" s="28" t="n"/>
      <c r="G52" s="28" t="n"/>
      <c r="H52" s="29" t="n"/>
      <c r="I52" s="27">
        <f>IF($E52="","",IF($F52="완료","✔ 완료",IF($E52&lt;TODAY(),"⚠ 지연 "&amp;(TODAY()-$E52)&amp;"일",IF($E52=TODAY(),"오늘 마감","D-"&amp;($E52-TODAY())))))</f>
        <v/>
      </c>
    </row>
    <row r="53">
      <c r="A53" s="28" t="n"/>
      <c r="B53" s="29" t="n"/>
      <c r="C53" s="29" t="n"/>
      <c r="D53" s="30" t="n"/>
      <c r="E53" s="30" t="n"/>
      <c r="F53" s="28" t="n"/>
      <c r="G53" s="28" t="n"/>
      <c r="H53" s="29" t="n"/>
      <c r="I53" s="27">
        <f>IF($E53="","",IF($F53="완료","✔ 완료",IF($E53&lt;TODAY(),"⚠ 지연 "&amp;(TODAY()-$E53)&amp;"일",IF($E53=TODAY(),"오늘 마감","D-"&amp;($E53-TODAY())))))</f>
        <v/>
      </c>
    </row>
    <row r="54">
      <c r="A54" s="28" t="n"/>
      <c r="B54" s="29" t="n"/>
      <c r="C54" s="29" t="n"/>
      <c r="D54" s="30" t="n"/>
      <c r="E54" s="30" t="n"/>
      <c r="F54" s="28" t="n"/>
      <c r="G54" s="28" t="n"/>
      <c r="H54" s="29" t="n"/>
      <c r="I54" s="27">
        <f>IF($E54="","",IF($F54="완료","✔ 완료",IF($E54&lt;TODAY(),"⚠ 지연 "&amp;(TODAY()-$E54)&amp;"일",IF($E54=TODAY(),"오늘 마감","D-"&amp;($E54-TODAY())))))</f>
        <v/>
      </c>
    </row>
  </sheetData>
  <conditionalFormatting sqref="A5:I54">
    <cfRule type="expression" priority="1" dxfId="0" stopIfTrue="1">
      <formula>$F5="완료"</formula>
    </cfRule>
    <cfRule type="expression" priority="2" dxfId="1" stopIfTrue="1">
      <formula>AND($F5&lt;&gt;"완료",$E5&lt;&gt;"",$E5&lt;TODAY())</formula>
    </cfRule>
    <cfRule type="expression" priority="3" dxfId="2" stopIfTrue="1">
      <formula>$F5="보류"</formula>
    </cfRule>
    <cfRule type="expression" priority="4" dxfId="3" stopIfTrue="1">
      <formula>$F5="진행중"</formula>
    </cfRule>
  </conditionalFormatting>
  <conditionalFormatting sqref="G5:G54">
    <cfRule type="expression" priority="5" dxfId="4">
      <formula>$G5="높음"</formula>
    </cfRule>
  </conditionalFormatting>
  <dataValidations count="2">
    <dataValidation sqref="F5:F54" showDropDown="0" showInputMessage="0" showErrorMessage="0" allowBlank="1" type="list">
      <formula1>"예정,진행중,완료,보류"</formula1>
    </dataValidation>
    <dataValidation sqref="G5:G54" showDropDown="0" showInputMessage="0" showErrorMessage="0" allowBlank="1" type="list">
      <formula1>"높음,보통,낮음"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BFBF"/>
    <outlinePr summaryBelow="1" summaryRight="1"/>
    <pageSetUpPr/>
  </sheetPr>
  <dimension ref="A1:BH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</cols>
  <sheetData>
    <row r="1">
      <c r="A1" s="22" t="inlineStr">
        <is>
          <t>③ 간트차트 — 8주 일정 자동 그리기 (자동)</t>
        </is>
      </c>
    </row>
    <row r="2">
      <c r="A2" s="23" t="inlineStr">
        <is>
          <t>✍ 직접 입력: 노란 칸 하나 — 표시 시작일만 (월요일 권장). 일정은 [일정목록]에서 입력하세요.</t>
        </is>
      </c>
    </row>
    <row r="3">
      <c r="A3" s="2" t="inlineStr">
        <is>
          <t>⚙ 자동 계산: 일정목록을 그대로 읽어 상태별 색 막대를 그립니다. 회색 세로줄=주말, 분홍 세로줄=오늘. 완료=초록 · 진행중=파랑 · 보류=주황 · 예정=연파랑.</t>
        </is>
      </c>
    </row>
    <row r="4">
      <c r="A4" s="8" t="inlineStr">
        <is>
          <t>표시 시작일</t>
        </is>
      </c>
      <c r="B4" s="31" t="n">
        <v>46286</v>
      </c>
      <c r="C4" s="2" t="inlineStr">
        <is>
          <t>◀ 이 날부터 8주 표시 (월요일 권장)</t>
        </is>
      </c>
    </row>
    <row r="5">
      <c r="A5" s="8" t="inlineStr">
        <is>
          <t>업무명</t>
        </is>
      </c>
      <c r="B5" s="8" t="inlineStr">
        <is>
          <t>시작</t>
        </is>
      </c>
      <c r="C5" s="8" t="inlineStr">
        <is>
          <t>마감</t>
        </is>
      </c>
      <c r="D5" s="8" t="inlineStr">
        <is>
          <t>상태</t>
        </is>
      </c>
      <c r="E5" s="32">
        <f>IF($B$4="","",$B$4+0)</f>
        <v/>
      </c>
      <c r="F5" s="33">
        <f>IF($B$4="","",$B$4+1)</f>
        <v/>
      </c>
      <c r="G5" s="33">
        <f>IF($B$4="","",$B$4+2)</f>
        <v/>
      </c>
      <c r="H5" s="33">
        <f>IF($B$4="","",$B$4+3)</f>
        <v/>
      </c>
      <c r="I5" s="33">
        <f>IF($B$4="","",$B$4+4)</f>
        <v/>
      </c>
      <c r="J5" s="33">
        <f>IF($B$4="","",$B$4+5)</f>
        <v/>
      </c>
      <c r="K5" s="33">
        <f>IF($B$4="","",$B$4+6)</f>
        <v/>
      </c>
      <c r="L5" s="32">
        <f>IF($B$4="","",$B$4+7)</f>
        <v/>
      </c>
      <c r="M5" s="33">
        <f>IF($B$4="","",$B$4+8)</f>
        <v/>
      </c>
      <c r="N5" s="33">
        <f>IF($B$4="","",$B$4+9)</f>
        <v/>
      </c>
      <c r="O5" s="33">
        <f>IF($B$4="","",$B$4+10)</f>
        <v/>
      </c>
      <c r="P5" s="33">
        <f>IF($B$4="","",$B$4+11)</f>
        <v/>
      </c>
      <c r="Q5" s="33">
        <f>IF($B$4="","",$B$4+12)</f>
        <v/>
      </c>
      <c r="R5" s="33">
        <f>IF($B$4="","",$B$4+13)</f>
        <v/>
      </c>
      <c r="S5" s="32">
        <f>IF($B$4="","",$B$4+14)</f>
        <v/>
      </c>
      <c r="T5" s="33">
        <f>IF($B$4="","",$B$4+15)</f>
        <v/>
      </c>
      <c r="U5" s="33">
        <f>IF($B$4="","",$B$4+16)</f>
        <v/>
      </c>
      <c r="V5" s="33">
        <f>IF($B$4="","",$B$4+17)</f>
        <v/>
      </c>
      <c r="W5" s="33">
        <f>IF($B$4="","",$B$4+18)</f>
        <v/>
      </c>
      <c r="X5" s="33">
        <f>IF($B$4="","",$B$4+19)</f>
        <v/>
      </c>
      <c r="Y5" s="33">
        <f>IF($B$4="","",$B$4+20)</f>
        <v/>
      </c>
      <c r="Z5" s="32">
        <f>IF($B$4="","",$B$4+21)</f>
        <v/>
      </c>
      <c r="AA5" s="33">
        <f>IF($B$4="","",$B$4+22)</f>
        <v/>
      </c>
      <c r="AB5" s="33">
        <f>IF($B$4="","",$B$4+23)</f>
        <v/>
      </c>
      <c r="AC5" s="33">
        <f>IF($B$4="","",$B$4+24)</f>
        <v/>
      </c>
      <c r="AD5" s="33">
        <f>IF($B$4="","",$B$4+25)</f>
        <v/>
      </c>
      <c r="AE5" s="33">
        <f>IF($B$4="","",$B$4+26)</f>
        <v/>
      </c>
      <c r="AF5" s="33">
        <f>IF($B$4="","",$B$4+27)</f>
        <v/>
      </c>
      <c r="AG5" s="32">
        <f>IF($B$4="","",$B$4+28)</f>
        <v/>
      </c>
      <c r="AH5" s="33">
        <f>IF($B$4="","",$B$4+29)</f>
        <v/>
      </c>
      <c r="AI5" s="33">
        <f>IF($B$4="","",$B$4+30)</f>
        <v/>
      </c>
      <c r="AJ5" s="33">
        <f>IF($B$4="","",$B$4+31)</f>
        <v/>
      </c>
      <c r="AK5" s="33">
        <f>IF($B$4="","",$B$4+32)</f>
        <v/>
      </c>
      <c r="AL5" s="33">
        <f>IF($B$4="","",$B$4+33)</f>
        <v/>
      </c>
      <c r="AM5" s="33">
        <f>IF($B$4="","",$B$4+34)</f>
        <v/>
      </c>
      <c r="AN5" s="32">
        <f>IF($B$4="","",$B$4+35)</f>
        <v/>
      </c>
      <c r="AO5" s="33">
        <f>IF($B$4="","",$B$4+36)</f>
        <v/>
      </c>
      <c r="AP5" s="33">
        <f>IF($B$4="","",$B$4+37)</f>
        <v/>
      </c>
      <c r="AQ5" s="33">
        <f>IF($B$4="","",$B$4+38)</f>
        <v/>
      </c>
      <c r="AR5" s="33">
        <f>IF($B$4="","",$B$4+39)</f>
        <v/>
      </c>
      <c r="AS5" s="33">
        <f>IF($B$4="","",$B$4+40)</f>
        <v/>
      </c>
      <c r="AT5" s="33">
        <f>IF($B$4="","",$B$4+41)</f>
        <v/>
      </c>
      <c r="AU5" s="32">
        <f>IF($B$4="","",$B$4+42)</f>
        <v/>
      </c>
      <c r="AV5" s="33">
        <f>IF($B$4="","",$B$4+43)</f>
        <v/>
      </c>
      <c r="AW5" s="33">
        <f>IF($B$4="","",$B$4+44)</f>
        <v/>
      </c>
      <c r="AX5" s="33">
        <f>IF($B$4="","",$B$4+45)</f>
        <v/>
      </c>
      <c r="AY5" s="33">
        <f>IF($B$4="","",$B$4+46)</f>
        <v/>
      </c>
      <c r="AZ5" s="33">
        <f>IF($B$4="","",$B$4+47)</f>
        <v/>
      </c>
      <c r="BA5" s="33">
        <f>IF($B$4="","",$B$4+48)</f>
        <v/>
      </c>
      <c r="BB5" s="32">
        <f>IF($B$4="","",$B$4+49)</f>
        <v/>
      </c>
      <c r="BC5" s="33">
        <f>IF($B$4="","",$B$4+50)</f>
        <v/>
      </c>
      <c r="BD5" s="33">
        <f>IF($B$4="","",$B$4+51)</f>
        <v/>
      </c>
      <c r="BE5" s="33">
        <f>IF($B$4="","",$B$4+52)</f>
        <v/>
      </c>
      <c r="BF5" s="33">
        <f>IF($B$4="","",$B$4+53)</f>
        <v/>
      </c>
      <c r="BG5" s="33">
        <f>IF($B$4="","",$B$4+54)</f>
        <v/>
      </c>
      <c r="BH5" s="33">
        <f>IF($B$4="","",$B$4+55)</f>
        <v/>
      </c>
    </row>
    <row r="6">
      <c r="A6" s="34">
        <f>IF(일정목록!$B5="","",일정목록!$B5)</f>
        <v/>
      </c>
      <c r="B6" s="35">
        <f>IF($A6="","",일정목록!$D5)</f>
        <v/>
      </c>
      <c r="C6" s="35">
        <f>IF($A6="","",일정목록!$E5)</f>
        <v/>
      </c>
      <c r="D6" s="27">
        <f>IF($A6="","",IF(일정목록!$F5="","예정",일정목록!$F5))</f>
        <v/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  <c r="BE6" s="36" t="n"/>
      <c r="BF6" s="36" t="n"/>
      <c r="BG6" s="36" t="n"/>
      <c r="BH6" s="36" t="n"/>
    </row>
    <row r="7">
      <c r="A7" s="34">
        <f>IF(일정목록!$B6="","",일정목록!$B6)</f>
        <v/>
      </c>
      <c r="B7" s="35">
        <f>IF($A7="","",일정목록!$D6)</f>
        <v/>
      </c>
      <c r="C7" s="35">
        <f>IF($A7="","",일정목록!$E6)</f>
        <v/>
      </c>
      <c r="D7" s="27">
        <f>IF($A7="","",IF(일정목록!$F6="","예정",일정목록!$F6))</f>
        <v/>
      </c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6" t="n"/>
    </row>
    <row r="8">
      <c r="A8" s="34">
        <f>IF(일정목록!$B7="","",일정목록!$B7)</f>
        <v/>
      </c>
      <c r="B8" s="35">
        <f>IF($A8="","",일정목록!$D7)</f>
        <v/>
      </c>
      <c r="C8" s="35">
        <f>IF($A8="","",일정목록!$E7)</f>
        <v/>
      </c>
      <c r="D8" s="27">
        <f>IF($A8="","",IF(일정목록!$F7="","예정",일정목록!$F7))</f>
        <v/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</row>
    <row r="9">
      <c r="A9" s="34">
        <f>IF(일정목록!$B8="","",일정목록!$B8)</f>
        <v/>
      </c>
      <c r="B9" s="35">
        <f>IF($A9="","",일정목록!$D8)</f>
        <v/>
      </c>
      <c r="C9" s="35">
        <f>IF($A9="","",일정목록!$E8)</f>
        <v/>
      </c>
      <c r="D9" s="27">
        <f>IF($A9="","",IF(일정목록!$F8="","예정",일정목록!$F8))</f>
        <v/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  <c r="BE9" s="36" t="n"/>
      <c r="BF9" s="36" t="n"/>
      <c r="BG9" s="36" t="n"/>
      <c r="BH9" s="36" t="n"/>
    </row>
    <row r="10">
      <c r="A10" s="34">
        <f>IF(일정목록!$B9="","",일정목록!$B9)</f>
        <v/>
      </c>
      <c r="B10" s="35">
        <f>IF($A10="","",일정목록!$D9)</f>
        <v/>
      </c>
      <c r="C10" s="35">
        <f>IF($A10="","",일정목록!$E9)</f>
        <v/>
      </c>
      <c r="D10" s="27">
        <f>IF($A10="","",IF(일정목록!$F9="","예정",일정목록!$F9))</f>
        <v/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</row>
    <row r="11">
      <c r="A11" s="34">
        <f>IF(일정목록!$B10="","",일정목록!$B10)</f>
        <v/>
      </c>
      <c r="B11" s="35">
        <f>IF($A11="","",일정목록!$D10)</f>
        <v/>
      </c>
      <c r="C11" s="35">
        <f>IF($A11="","",일정목록!$E10)</f>
        <v/>
      </c>
      <c r="D11" s="27">
        <f>IF($A11="","",IF(일정목록!$F10="","예정",일정목록!$F10))</f>
        <v/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</row>
    <row r="12">
      <c r="A12" s="34">
        <f>IF(일정목록!$B11="","",일정목록!$B11)</f>
        <v/>
      </c>
      <c r="B12" s="35">
        <f>IF($A12="","",일정목록!$D11)</f>
        <v/>
      </c>
      <c r="C12" s="35">
        <f>IF($A12="","",일정목록!$E11)</f>
        <v/>
      </c>
      <c r="D12" s="27">
        <f>IF($A12="","",IF(일정목록!$F11="","예정",일정목록!$F11))</f>
        <v/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</row>
    <row r="13">
      <c r="A13" s="34">
        <f>IF(일정목록!$B12="","",일정목록!$B12)</f>
        <v/>
      </c>
      <c r="B13" s="35">
        <f>IF($A13="","",일정목록!$D12)</f>
        <v/>
      </c>
      <c r="C13" s="35">
        <f>IF($A13="","",일정목록!$E12)</f>
        <v/>
      </c>
      <c r="D13" s="27">
        <f>IF($A13="","",IF(일정목록!$F12="","예정",일정목록!$F12))</f>
        <v/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</row>
    <row r="14">
      <c r="A14" s="34">
        <f>IF(일정목록!$B13="","",일정목록!$B13)</f>
        <v/>
      </c>
      <c r="B14" s="35">
        <f>IF($A14="","",일정목록!$D13)</f>
        <v/>
      </c>
      <c r="C14" s="35">
        <f>IF($A14="","",일정목록!$E13)</f>
        <v/>
      </c>
      <c r="D14" s="27">
        <f>IF($A14="","",IF(일정목록!$F13="","예정",일정목록!$F13))</f>
        <v/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</row>
    <row r="15">
      <c r="A15" s="34">
        <f>IF(일정목록!$B14="","",일정목록!$B14)</f>
        <v/>
      </c>
      <c r="B15" s="35">
        <f>IF($A15="","",일정목록!$D14)</f>
        <v/>
      </c>
      <c r="C15" s="35">
        <f>IF($A15="","",일정목록!$E14)</f>
        <v/>
      </c>
      <c r="D15" s="27">
        <f>IF($A15="","",IF(일정목록!$F14="","예정",일정목록!$F14))</f>
        <v/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</row>
    <row r="16">
      <c r="A16" s="34">
        <f>IF(일정목록!$B15="","",일정목록!$B15)</f>
        <v/>
      </c>
      <c r="B16" s="35">
        <f>IF($A16="","",일정목록!$D15)</f>
        <v/>
      </c>
      <c r="C16" s="35">
        <f>IF($A16="","",일정목록!$E15)</f>
        <v/>
      </c>
      <c r="D16" s="27">
        <f>IF($A16="","",IF(일정목록!$F15="","예정",일정목록!$F15))</f>
        <v/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</row>
    <row r="17">
      <c r="A17" s="34">
        <f>IF(일정목록!$B16="","",일정목록!$B16)</f>
        <v/>
      </c>
      <c r="B17" s="35">
        <f>IF($A17="","",일정목록!$D16)</f>
        <v/>
      </c>
      <c r="C17" s="35">
        <f>IF($A17="","",일정목록!$E16)</f>
        <v/>
      </c>
      <c r="D17" s="27">
        <f>IF($A17="","",IF(일정목록!$F16="","예정",일정목록!$F16))</f>
        <v/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</row>
    <row r="18">
      <c r="A18" s="34">
        <f>IF(일정목록!$B17="","",일정목록!$B17)</f>
        <v/>
      </c>
      <c r="B18" s="35">
        <f>IF($A18="","",일정목록!$D17)</f>
        <v/>
      </c>
      <c r="C18" s="35">
        <f>IF($A18="","",일정목록!$E17)</f>
        <v/>
      </c>
      <c r="D18" s="27">
        <f>IF($A18="","",IF(일정목록!$F17="","예정",일정목록!$F17))</f>
        <v/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</row>
    <row r="19">
      <c r="A19" s="34">
        <f>IF(일정목록!$B18="","",일정목록!$B18)</f>
        <v/>
      </c>
      <c r="B19" s="35">
        <f>IF($A19="","",일정목록!$D18)</f>
        <v/>
      </c>
      <c r="C19" s="35">
        <f>IF($A19="","",일정목록!$E18)</f>
        <v/>
      </c>
      <c r="D19" s="27">
        <f>IF($A19="","",IF(일정목록!$F18="","예정",일정목록!$F18))</f>
        <v/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</row>
    <row r="20">
      <c r="A20" s="34">
        <f>IF(일정목록!$B19="","",일정목록!$B19)</f>
        <v/>
      </c>
      <c r="B20" s="35">
        <f>IF($A20="","",일정목록!$D19)</f>
        <v/>
      </c>
      <c r="C20" s="35">
        <f>IF($A20="","",일정목록!$E19)</f>
        <v/>
      </c>
      <c r="D20" s="27">
        <f>IF($A20="","",IF(일정목록!$F19="","예정",일정목록!$F19))</f>
        <v/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</row>
    <row r="21">
      <c r="A21" s="34">
        <f>IF(일정목록!$B20="","",일정목록!$B20)</f>
        <v/>
      </c>
      <c r="B21" s="35">
        <f>IF($A21="","",일정목록!$D20)</f>
        <v/>
      </c>
      <c r="C21" s="35">
        <f>IF($A21="","",일정목록!$E20)</f>
        <v/>
      </c>
      <c r="D21" s="27">
        <f>IF($A21="","",IF(일정목록!$F20="","예정",일정목록!$F20))</f>
        <v/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</row>
    <row r="22">
      <c r="A22" s="34">
        <f>IF(일정목록!$B21="","",일정목록!$B21)</f>
        <v/>
      </c>
      <c r="B22" s="35">
        <f>IF($A22="","",일정목록!$D21)</f>
        <v/>
      </c>
      <c r="C22" s="35">
        <f>IF($A22="","",일정목록!$E21)</f>
        <v/>
      </c>
      <c r="D22" s="27">
        <f>IF($A22="","",IF(일정목록!$F21="","예정",일정목록!$F21))</f>
        <v/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</row>
    <row r="23">
      <c r="A23" s="34">
        <f>IF(일정목록!$B22="","",일정목록!$B22)</f>
        <v/>
      </c>
      <c r="B23" s="35">
        <f>IF($A23="","",일정목록!$D22)</f>
        <v/>
      </c>
      <c r="C23" s="35">
        <f>IF($A23="","",일정목록!$E22)</f>
        <v/>
      </c>
      <c r="D23" s="27">
        <f>IF($A23="","",IF(일정목록!$F22="","예정",일정목록!$F22))</f>
        <v/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  <c r="BE23" s="36" t="n"/>
      <c r="BF23" s="36" t="n"/>
      <c r="BG23" s="36" t="n"/>
      <c r="BH23" s="36" t="n"/>
    </row>
    <row r="24">
      <c r="A24" s="34">
        <f>IF(일정목록!$B23="","",일정목록!$B23)</f>
        <v/>
      </c>
      <c r="B24" s="35">
        <f>IF($A24="","",일정목록!$D23)</f>
        <v/>
      </c>
      <c r="C24" s="35">
        <f>IF($A24="","",일정목록!$E23)</f>
        <v/>
      </c>
      <c r="D24" s="27">
        <f>IF($A24="","",IF(일정목록!$F23="","예정",일정목록!$F23))</f>
        <v/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  <c r="BE24" s="36" t="n"/>
      <c r="BF24" s="36" t="n"/>
      <c r="BG24" s="36" t="n"/>
      <c r="BH24" s="36" t="n"/>
    </row>
    <row r="25">
      <c r="A25" s="34">
        <f>IF(일정목록!$B24="","",일정목록!$B24)</f>
        <v/>
      </c>
      <c r="B25" s="35">
        <f>IF($A25="","",일정목록!$D24)</f>
        <v/>
      </c>
      <c r="C25" s="35">
        <f>IF($A25="","",일정목록!$E24)</f>
        <v/>
      </c>
      <c r="D25" s="27">
        <f>IF($A25="","",IF(일정목록!$F24="","예정",일정목록!$F24))</f>
        <v/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</row>
    <row r="26">
      <c r="A26" s="34">
        <f>IF(일정목록!$B25="","",일정목록!$B25)</f>
        <v/>
      </c>
      <c r="B26" s="35">
        <f>IF($A26="","",일정목록!$D25)</f>
        <v/>
      </c>
      <c r="C26" s="35">
        <f>IF($A26="","",일정목록!$E25)</f>
        <v/>
      </c>
      <c r="D26" s="27">
        <f>IF($A26="","",IF(일정목록!$F25="","예정",일정목록!$F25))</f>
        <v/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</row>
    <row r="27">
      <c r="A27" s="34">
        <f>IF(일정목록!$B26="","",일정목록!$B26)</f>
        <v/>
      </c>
      <c r="B27" s="35">
        <f>IF($A27="","",일정목록!$D26)</f>
        <v/>
      </c>
      <c r="C27" s="35">
        <f>IF($A27="","",일정목록!$E26)</f>
        <v/>
      </c>
      <c r="D27" s="27">
        <f>IF($A27="","",IF(일정목록!$F26="","예정",일정목록!$F26))</f>
        <v/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  <c r="BE27" s="36" t="n"/>
      <c r="BF27" s="36" t="n"/>
      <c r="BG27" s="36" t="n"/>
      <c r="BH27" s="36" t="n"/>
    </row>
    <row r="28">
      <c r="A28" s="34">
        <f>IF(일정목록!$B27="","",일정목록!$B27)</f>
        <v/>
      </c>
      <c r="B28" s="35">
        <f>IF($A28="","",일정목록!$D27)</f>
        <v/>
      </c>
      <c r="C28" s="35">
        <f>IF($A28="","",일정목록!$E27)</f>
        <v/>
      </c>
      <c r="D28" s="27">
        <f>IF($A28="","",IF(일정목록!$F27="","예정",일정목록!$F27))</f>
        <v/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6" t="n"/>
      <c r="BH28" s="36" t="n"/>
    </row>
    <row r="29">
      <c r="A29" s="34">
        <f>IF(일정목록!$B28="","",일정목록!$B28)</f>
        <v/>
      </c>
      <c r="B29" s="35">
        <f>IF($A29="","",일정목록!$D28)</f>
        <v/>
      </c>
      <c r="C29" s="35">
        <f>IF($A29="","",일정목록!$E28)</f>
        <v/>
      </c>
      <c r="D29" s="27">
        <f>IF($A29="","",IF(일정목록!$F28="","예정",일정목록!$F28))</f>
        <v/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6" t="n"/>
      <c r="BE29" s="36" t="n"/>
      <c r="BF29" s="36" t="n"/>
      <c r="BG29" s="36" t="n"/>
      <c r="BH29" s="36" t="n"/>
    </row>
    <row r="30">
      <c r="A30" s="34">
        <f>IF(일정목록!$B29="","",일정목록!$B29)</f>
        <v/>
      </c>
      <c r="B30" s="35">
        <f>IF($A30="","",일정목록!$D29)</f>
        <v/>
      </c>
      <c r="C30" s="35">
        <f>IF($A30="","",일정목록!$E29)</f>
        <v/>
      </c>
      <c r="D30" s="27">
        <f>IF($A30="","",IF(일정목록!$F29="","예정",일정목록!$F29))</f>
        <v/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6" t="n"/>
      <c r="BH30" s="36" t="n"/>
    </row>
    <row r="31">
      <c r="A31" s="34">
        <f>IF(일정목록!$B30="","",일정목록!$B30)</f>
        <v/>
      </c>
      <c r="B31" s="35">
        <f>IF($A31="","",일정목록!$D30)</f>
        <v/>
      </c>
      <c r="C31" s="35">
        <f>IF($A31="","",일정목록!$E30)</f>
        <v/>
      </c>
      <c r="D31" s="27">
        <f>IF($A31="","",IF(일정목록!$F30="","예정",일정목록!$F30))</f>
        <v/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6" t="n"/>
      <c r="BH31" s="36" t="n"/>
    </row>
    <row r="32">
      <c r="A32" s="34">
        <f>IF(일정목록!$B31="","",일정목록!$B31)</f>
        <v/>
      </c>
      <c r="B32" s="35">
        <f>IF($A32="","",일정목록!$D31)</f>
        <v/>
      </c>
      <c r="C32" s="35">
        <f>IF($A32="","",일정목록!$E31)</f>
        <v/>
      </c>
      <c r="D32" s="27">
        <f>IF($A32="","",IF(일정목록!$F31="","예정",일정목록!$F31))</f>
        <v/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6" t="n"/>
      <c r="BH32" s="36" t="n"/>
    </row>
    <row r="33">
      <c r="A33" s="34">
        <f>IF(일정목록!$B32="","",일정목록!$B32)</f>
        <v/>
      </c>
      <c r="B33" s="35">
        <f>IF($A33="","",일정목록!$D32)</f>
        <v/>
      </c>
      <c r="C33" s="35">
        <f>IF($A33="","",일정목록!$E32)</f>
        <v/>
      </c>
      <c r="D33" s="27">
        <f>IF($A33="","",IF(일정목록!$F32="","예정",일정목록!$F32))</f>
        <v/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</row>
    <row r="34">
      <c r="A34" s="34">
        <f>IF(일정목록!$B33="","",일정목록!$B33)</f>
        <v/>
      </c>
      <c r="B34" s="35">
        <f>IF($A34="","",일정목록!$D33)</f>
        <v/>
      </c>
      <c r="C34" s="35">
        <f>IF($A34="","",일정목록!$E33)</f>
        <v/>
      </c>
      <c r="D34" s="27">
        <f>IF($A34="","",IF(일정목록!$F33="","예정",일정목록!$F33))</f>
        <v/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</row>
    <row r="35">
      <c r="A35" s="34">
        <f>IF(일정목록!$B34="","",일정목록!$B34)</f>
        <v/>
      </c>
      <c r="B35" s="35">
        <f>IF($A35="","",일정목록!$D34)</f>
        <v/>
      </c>
      <c r="C35" s="35">
        <f>IF($A35="","",일정목록!$E34)</f>
        <v/>
      </c>
      <c r="D35" s="27">
        <f>IF($A35="","",IF(일정목록!$F34="","예정",일정목록!$F34))</f>
        <v/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</row>
    <row r="36">
      <c r="A36" s="34">
        <f>IF(일정목록!$B35="","",일정목록!$B35)</f>
        <v/>
      </c>
      <c r="B36" s="35">
        <f>IF($A36="","",일정목록!$D35)</f>
        <v/>
      </c>
      <c r="C36" s="35">
        <f>IF($A36="","",일정목록!$E35)</f>
        <v/>
      </c>
      <c r="D36" s="27">
        <f>IF($A36="","",IF(일정목록!$F35="","예정",일정목록!$F35))</f>
        <v/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36" t="n"/>
      <c r="BE36" s="36" t="n"/>
      <c r="BF36" s="36" t="n"/>
      <c r="BG36" s="36" t="n"/>
      <c r="BH36" s="36" t="n"/>
    </row>
    <row r="37">
      <c r="A37" s="34">
        <f>IF(일정목록!$B36="","",일정목록!$B36)</f>
        <v/>
      </c>
      <c r="B37" s="35">
        <f>IF($A37="","",일정목록!$D36)</f>
        <v/>
      </c>
      <c r="C37" s="35">
        <f>IF($A37="","",일정목록!$E36)</f>
        <v/>
      </c>
      <c r="D37" s="27">
        <f>IF($A37="","",IF(일정목록!$F36="","예정",일정목록!$F36))</f>
        <v/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</row>
    <row r="38">
      <c r="A38" s="34">
        <f>IF(일정목록!$B37="","",일정목록!$B37)</f>
        <v/>
      </c>
      <c r="B38" s="35">
        <f>IF($A38="","",일정목록!$D37)</f>
        <v/>
      </c>
      <c r="C38" s="35">
        <f>IF($A38="","",일정목록!$E37)</f>
        <v/>
      </c>
      <c r="D38" s="27">
        <f>IF($A38="","",IF(일정목록!$F37="","예정",일정목록!$F37))</f>
        <v/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6" t="n"/>
      <c r="BH38" s="36" t="n"/>
    </row>
    <row r="39">
      <c r="A39" s="34">
        <f>IF(일정목록!$B38="","",일정목록!$B38)</f>
        <v/>
      </c>
      <c r="B39" s="35">
        <f>IF($A39="","",일정목록!$D38)</f>
        <v/>
      </c>
      <c r="C39" s="35">
        <f>IF($A39="","",일정목록!$E38)</f>
        <v/>
      </c>
      <c r="D39" s="27">
        <f>IF($A39="","",IF(일정목록!$F38="","예정",일정목록!$F38))</f>
        <v/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6" t="n"/>
      <c r="BH39" s="36" t="n"/>
    </row>
    <row r="40">
      <c r="A40" s="34">
        <f>IF(일정목록!$B39="","",일정목록!$B39)</f>
        <v/>
      </c>
      <c r="B40" s="35">
        <f>IF($A40="","",일정목록!$D39)</f>
        <v/>
      </c>
      <c r="C40" s="35">
        <f>IF($A40="","",일정목록!$E39)</f>
        <v/>
      </c>
      <c r="D40" s="27">
        <f>IF($A40="","",IF(일정목록!$F39="","예정",일정목록!$F39))</f>
        <v/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6" t="n"/>
      <c r="BH40" s="36" t="n"/>
    </row>
    <row r="41">
      <c r="A41" s="34">
        <f>IF(일정목록!$B40="","",일정목록!$B40)</f>
        <v/>
      </c>
      <c r="B41" s="35">
        <f>IF($A41="","",일정목록!$D40)</f>
        <v/>
      </c>
      <c r="C41" s="35">
        <f>IF($A41="","",일정목록!$E40)</f>
        <v/>
      </c>
      <c r="D41" s="27">
        <f>IF($A41="","",IF(일정목록!$F40="","예정",일정목록!$F40))</f>
        <v/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</row>
    <row r="42">
      <c r="A42" s="34">
        <f>IF(일정목록!$B41="","",일정목록!$B41)</f>
        <v/>
      </c>
      <c r="B42" s="35">
        <f>IF($A42="","",일정목록!$D41)</f>
        <v/>
      </c>
      <c r="C42" s="35">
        <f>IF($A42="","",일정목록!$E41)</f>
        <v/>
      </c>
      <c r="D42" s="27">
        <f>IF($A42="","",IF(일정목록!$F41="","예정",일정목록!$F41))</f>
        <v/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6" t="n"/>
      <c r="BE42" s="36" t="n"/>
      <c r="BF42" s="36" t="n"/>
      <c r="BG42" s="36" t="n"/>
      <c r="BH42" s="36" t="n"/>
    </row>
    <row r="43">
      <c r="A43" s="34">
        <f>IF(일정목록!$B42="","",일정목록!$B42)</f>
        <v/>
      </c>
      <c r="B43" s="35">
        <f>IF($A43="","",일정목록!$D42)</f>
        <v/>
      </c>
      <c r="C43" s="35">
        <f>IF($A43="","",일정목록!$E42)</f>
        <v/>
      </c>
      <c r="D43" s="27">
        <f>IF($A43="","",IF(일정목록!$F42="","예정",일정목록!$F42))</f>
        <v/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6" t="n"/>
      <c r="BH43" s="36" t="n"/>
    </row>
    <row r="44">
      <c r="A44" s="34">
        <f>IF(일정목록!$B43="","",일정목록!$B43)</f>
        <v/>
      </c>
      <c r="B44" s="35">
        <f>IF($A44="","",일정목록!$D43)</f>
        <v/>
      </c>
      <c r="C44" s="35">
        <f>IF($A44="","",일정목록!$E43)</f>
        <v/>
      </c>
      <c r="D44" s="27">
        <f>IF($A44="","",IF(일정목록!$F43="","예정",일정목록!$F43))</f>
        <v/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6" t="n"/>
      <c r="BH44" s="36" t="n"/>
    </row>
    <row r="45">
      <c r="A45" s="34">
        <f>IF(일정목록!$B44="","",일정목록!$B44)</f>
        <v/>
      </c>
      <c r="B45" s="35">
        <f>IF($A45="","",일정목록!$D44)</f>
        <v/>
      </c>
      <c r="C45" s="35">
        <f>IF($A45="","",일정목록!$E44)</f>
        <v/>
      </c>
      <c r="D45" s="27">
        <f>IF($A45="","",IF(일정목록!$F44="","예정",일정목록!$F44))</f>
        <v/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6" t="n"/>
      <c r="BH45" s="36" t="n"/>
    </row>
    <row r="46">
      <c r="A46" s="34">
        <f>IF(일정목록!$B45="","",일정목록!$B45)</f>
        <v/>
      </c>
      <c r="B46" s="35">
        <f>IF($A46="","",일정목록!$D45)</f>
        <v/>
      </c>
      <c r="C46" s="35">
        <f>IF($A46="","",일정목록!$E45)</f>
        <v/>
      </c>
      <c r="D46" s="27">
        <f>IF($A46="","",IF(일정목록!$F45="","예정",일정목록!$F45))</f>
        <v/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</row>
    <row r="47">
      <c r="A47" s="34">
        <f>IF(일정목록!$B46="","",일정목록!$B46)</f>
        <v/>
      </c>
      <c r="B47" s="35">
        <f>IF($A47="","",일정목록!$D46)</f>
        <v/>
      </c>
      <c r="C47" s="35">
        <f>IF($A47="","",일정목록!$E46)</f>
        <v/>
      </c>
      <c r="D47" s="27">
        <f>IF($A47="","",IF(일정목록!$F46="","예정",일정목록!$F46))</f>
        <v/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</row>
    <row r="48">
      <c r="A48" s="34">
        <f>IF(일정목록!$B47="","",일정목록!$B47)</f>
        <v/>
      </c>
      <c r="B48" s="35">
        <f>IF($A48="","",일정목록!$D47)</f>
        <v/>
      </c>
      <c r="C48" s="35">
        <f>IF($A48="","",일정목록!$E47)</f>
        <v/>
      </c>
      <c r="D48" s="27">
        <f>IF($A48="","",IF(일정목록!$F47="","예정",일정목록!$F47))</f>
        <v/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</row>
    <row r="49">
      <c r="A49" s="34">
        <f>IF(일정목록!$B48="","",일정목록!$B48)</f>
        <v/>
      </c>
      <c r="B49" s="35">
        <f>IF($A49="","",일정목록!$D48)</f>
        <v/>
      </c>
      <c r="C49" s="35">
        <f>IF($A49="","",일정목록!$E48)</f>
        <v/>
      </c>
      <c r="D49" s="27">
        <f>IF($A49="","",IF(일정목록!$F48="","예정",일정목록!$F48))</f>
        <v/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</row>
    <row r="50">
      <c r="A50" s="34">
        <f>IF(일정목록!$B49="","",일정목록!$B49)</f>
        <v/>
      </c>
      <c r="B50" s="35">
        <f>IF($A50="","",일정목록!$D49)</f>
        <v/>
      </c>
      <c r="C50" s="35">
        <f>IF($A50="","",일정목록!$E49)</f>
        <v/>
      </c>
      <c r="D50" s="27">
        <f>IF($A50="","",IF(일정목록!$F49="","예정",일정목록!$F49))</f>
        <v/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</row>
    <row r="51">
      <c r="A51" s="34">
        <f>IF(일정목록!$B50="","",일정목록!$B50)</f>
        <v/>
      </c>
      <c r="B51" s="35">
        <f>IF($A51="","",일정목록!$D50)</f>
        <v/>
      </c>
      <c r="C51" s="35">
        <f>IF($A51="","",일정목록!$E50)</f>
        <v/>
      </c>
      <c r="D51" s="27">
        <f>IF($A51="","",IF(일정목록!$F50="","예정",일정목록!$F50))</f>
        <v/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</row>
    <row r="52">
      <c r="A52" s="34">
        <f>IF(일정목록!$B51="","",일정목록!$B51)</f>
        <v/>
      </c>
      <c r="B52" s="35">
        <f>IF($A52="","",일정목록!$D51)</f>
        <v/>
      </c>
      <c r="C52" s="35">
        <f>IF($A52="","",일정목록!$E51)</f>
        <v/>
      </c>
      <c r="D52" s="27">
        <f>IF($A52="","",IF(일정목록!$F51="","예정",일정목록!$F51))</f>
        <v/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6" t="n"/>
      <c r="BH52" s="36" t="n"/>
    </row>
    <row r="53">
      <c r="A53" s="34">
        <f>IF(일정목록!$B52="","",일정목록!$B52)</f>
        <v/>
      </c>
      <c r="B53" s="35">
        <f>IF($A53="","",일정목록!$D52)</f>
        <v/>
      </c>
      <c r="C53" s="35">
        <f>IF($A53="","",일정목록!$E52)</f>
        <v/>
      </c>
      <c r="D53" s="27">
        <f>IF($A53="","",IF(일정목록!$F52="","예정",일정목록!$F52))</f>
        <v/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</row>
    <row r="54">
      <c r="A54" s="34">
        <f>IF(일정목록!$B53="","",일정목록!$B53)</f>
        <v/>
      </c>
      <c r="B54" s="35">
        <f>IF($A54="","",일정목록!$D53)</f>
        <v/>
      </c>
      <c r="C54" s="35">
        <f>IF($A54="","",일정목록!$E53)</f>
        <v/>
      </c>
      <c r="D54" s="27">
        <f>IF($A54="","",IF(일정목록!$F53="","예정",일정목록!$F53))</f>
        <v/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</row>
    <row r="55">
      <c r="A55" s="34">
        <f>IF(일정목록!$B54="","",일정목록!$B54)</f>
        <v/>
      </c>
      <c r="B55" s="35">
        <f>IF($A55="","",일정목록!$D54)</f>
        <v/>
      </c>
      <c r="C55" s="35">
        <f>IF($A55="","",일정목록!$E54)</f>
        <v/>
      </c>
      <c r="D55" s="27">
        <f>IF($A55="","",IF(일정목록!$F54="","예정",일정목록!$F54))</f>
        <v/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6" t="n"/>
      <c r="BH55" s="36" t="n"/>
    </row>
  </sheetData>
  <conditionalFormatting sqref="E6:BH55">
    <cfRule type="expression" priority="1" dxfId="5" stopIfTrue="1">
      <formula>AND(E$5&lt;&gt;"",$B6&lt;&gt;"",E$5&gt;=$B6,E$5&lt;=$C6,$D6="완료")</formula>
    </cfRule>
    <cfRule type="expression" priority="2" dxfId="6" stopIfTrue="1">
      <formula>AND(E$5&lt;&gt;"",$B6&lt;&gt;"",E$5&gt;=$B6,E$5&lt;=$C6,$D6="보류")</formula>
    </cfRule>
    <cfRule type="expression" priority="3" dxfId="7" stopIfTrue="1">
      <formula>AND(E$5&lt;&gt;"",$B6&lt;&gt;"",E$5&gt;=$B6,E$5&lt;=$C6,$D6="진행중")</formula>
    </cfRule>
    <cfRule type="expression" priority="4" dxfId="8" stopIfTrue="1">
      <formula>AND(E$5&lt;&gt;"",$B6&lt;&gt;"",E$5&gt;=$B6,E$5&lt;=$C6)</formula>
    </cfRule>
    <cfRule type="expression" priority="5" dxfId="9" stopIfTrue="1">
      <formula>AND(E$5&lt;&gt;"",E$5=TODAY())</formula>
    </cfRule>
    <cfRule type="expression" priority="6" dxfId="10">
      <formula>AND(E$5&lt;&gt;"",WEEKDAY(E$5,2)&gt;=6)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2026-09-22T12:21:20Z</dcterms:created>
  <dcterms:modified xsi:type="dcterms:W3CDTF">2026-09-22T12:21:21Z</dcterms:modified>
</cp:coreProperties>
</file>