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결산 체크리스트" sheetId="1" state="visible" r:id="rId1"/>
    <sheet name="결산명세서" sheetId="2" state="visible" r:id="rId2"/>
    <sheet name="합잔 요약" sheetId="3" state="visible" r:id="rId3"/>
    <sheet name="잔액 검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0000FF"/>
    </font>
    <font>
      <name val="맑은 고딕"/>
      <color rgb="00808080"/>
      <sz val="9"/>
    </font>
    <font>
      <name val="맑은 고딕"/>
      <b val="1"/>
    </font>
    <font>
      <name val="맑은 고딕"/>
      <color rgb="00008000"/>
    </font>
    <font>
      <name val="맑은 고딕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6" fillId="0" borderId="1" pivotButton="0" quotePrefix="0" xfId="0"/>
    <xf numFmtId="0" fontId="2" fillId="2" borderId="1" applyAlignment="1" pivotButton="0" quotePrefix="0" xfId="0">
      <alignment horizontal="center" vertical="center"/>
    </xf>
    <xf numFmtId="164" fontId="2" fillId="2" borderId="1" pivotButton="0" quotePrefix="0" xfId="0"/>
    <xf numFmtId="164" fontId="6" fillId="0" borderId="1" pivotButton="0" quotePrefix="0" xfId="0"/>
    <xf numFmtId="164" fontId="4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56" customWidth="1" min="3" max="3"/>
    <col width="8" customWidth="1" min="4" max="4"/>
  </cols>
  <sheetData>
    <row r="1">
      <c r="A1" s="1" t="inlineStr">
        <is>
          <t>월말 결산 체크리스트</t>
        </is>
      </c>
    </row>
    <row r="2">
      <c r="A2" s="2" t="inlineStr">
        <is>
          <t>대상 월:</t>
        </is>
      </c>
      <c r="B2" s="3" t="inlineStr">
        <is>
          <t>2026-09</t>
        </is>
      </c>
    </row>
    <row r="3">
      <c r="A3" s="2" t="inlineStr">
        <is>
          <t>작성자:</t>
        </is>
      </c>
      <c r="B3" s="3" t="inlineStr">
        <is>
          <t>재무팀 김하늘 (예시)</t>
        </is>
      </c>
    </row>
    <row r="4"/>
    <row r="5">
      <c r="A5" s="4" t="inlineStr">
        <is>
          <t>■ 사용법: 노란색 칸만 입력하세요. 완료 칸에 O를 적으면서 순서대로 진행합니다.</t>
        </is>
      </c>
    </row>
    <row r="6"/>
    <row r="7">
      <c r="A7" s="5" t="inlineStr">
        <is>
          <t>번호</t>
        </is>
      </c>
      <c r="B7" s="5" t="inlineStr">
        <is>
          <t>점검 항목</t>
        </is>
      </c>
      <c r="C7" s="5" t="inlineStr">
        <is>
          <t>내용</t>
        </is>
      </c>
      <c r="D7" s="5" t="inlineStr">
        <is>
          <t>완료(O)</t>
        </is>
      </c>
    </row>
    <row r="8">
      <c r="A8" s="6" t="inlineStr">
        <is>
          <t>1</t>
        </is>
      </c>
      <c r="B8" s="7" t="inlineStr">
        <is>
          <t>통장 잔액 대사</t>
        </is>
      </c>
      <c r="C8" s="8" t="inlineStr">
        <is>
          <t>모든 계좌의 은행 잔액과 장부 보통예금 잔액 일치 확인</t>
        </is>
      </c>
      <c r="D8" s="9" t="inlineStr">
        <is>
          <t>O</t>
        </is>
      </c>
    </row>
    <row r="9">
      <c r="A9" s="6" t="inlineStr">
        <is>
          <t>2</t>
        </is>
      </c>
      <c r="B9" s="7" t="inlineStr">
        <is>
          <t>현금 시재 확인</t>
        </is>
      </c>
      <c r="C9" s="8" t="inlineStr">
        <is>
          <t>실제 현금과 장부 현금 잔액 일치 확인</t>
        </is>
      </c>
      <c r="D9" s="9" t="inlineStr">
        <is>
          <t>O</t>
        </is>
      </c>
    </row>
    <row r="10">
      <c r="A10" s="6" t="inlineStr">
        <is>
          <t>3</t>
        </is>
      </c>
      <c r="B10" s="7" t="inlineStr">
        <is>
          <t>외상매출금·미수금 정리</t>
        </is>
      </c>
      <c r="C10" s="8" t="inlineStr">
        <is>
          <t>거래처별 잔액 확인, 회수 지연 건 표시</t>
        </is>
      </c>
      <c r="D10" s="9" t="n"/>
    </row>
    <row r="11">
      <c r="A11" s="6" t="inlineStr">
        <is>
          <t>4</t>
        </is>
      </c>
      <c r="B11" s="7" t="inlineStr">
        <is>
          <t>외상매입금·미지급금 정리</t>
        </is>
      </c>
      <c r="C11" s="8" t="inlineStr">
        <is>
          <t>거래처별 잔액 확인, 세금계산서 누락분 확인</t>
        </is>
      </c>
      <c r="D11" s="9" t="n"/>
    </row>
    <row r="12">
      <c r="A12" s="6" t="inlineStr">
        <is>
          <t>5</t>
        </is>
      </c>
      <c r="B12" s="7" t="inlineStr">
        <is>
          <t>법인카드 미결제 금액 확인</t>
        </is>
      </c>
      <c r="C12" s="8" t="inlineStr">
        <is>
          <t>카드사 청구 예정액과 미지급금 계상액 대사</t>
        </is>
      </c>
      <c r="D12" s="9" t="n"/>
    </row>
    <row r="13">
      <c r="A13" s="6" t="inlineStr">
        <is>
          <t>6</t>
        </is>
      </c>
      <c r="B13" s="7" t="inlineStr">
        <is>
          <t>가지급금·가수금 정리</t>
        </is>
      </c>
      <c r="C13" s="8" t="inlineStr">
        <is>
          <t>내역 확인 후 본계정으로 대체</t>
        </is>
      </c>
      <c r="D13" s="9" t="n"/>
    </row>
    <row r="14">
      <c r="A14" s="6" t="inlineStr">
        <is>
          <t>7</t>
        </is>
      </c>
      <c r="B14" s="7" t="inlineStr">
        <is>
          <t>예수금 정리</t>
        </is>
      </c>
      <c r="C14" s="8" t="inlineStr">
        <is>
          <t>근로소득세·4대보험 예수금 잔액과 납부 예정액 대사</t>
        </is>
      </c>
      <c r="D14" s="9" t="n"/>
    </row>
    <row r="15">
      <c r="A15" s="6" t="inlineStr">
        <is>
          <t>8</t>
        </is>
      </c>
      <c r="B15" s="7" t="inlineStr">
        <is>
          <t>부가세예수금·대급금 확인</t>
        </is>
      </c>
      <c r="C15" s="8" t="inlineStr">
        <is>
          <t>매출·매입 세액과 장부 잔액 대사</t>
        </is>
      </c>
      <c r="D15" s="9" t="n"/>
    </row>
    <row r="16">
      <c r="A16" s="6" t="inlineStr">
        <is>
          <t>9</t>
        </is>
      </c>
      <c r="B16" s="7" t="inlineStr">
        <is>
          <t>재고자산 확정</t>
        </is>
      </c>
      <c r="C16" s="8" t="inlineStr">
        <is>
          <t>월말 재고 실사 또는 수불부 마감</t>
        </is>
      </c>
      <c r="D16" s="9" t="n"/>
    </row>
    <row r="17">
      <c r="A17" s="6" t="inlineStr">
        <is>
          <t>10</t>
        </is>
      </c>
      <c r="B17" s="7" t="inlineStr">
        <is>
          <t>감가상각비 계상</t>
        </is>
      </c>
      <c r="C17" s="8" t="inlineStr">
        <is>
          <t>월할 상각액 반영 (연 1회 결산법인은 생략 가능)</t>
        </is>
      </c>
      <c r="D17" s="9" t="n"/>
    </row>
    <row r="18">
      <c r="A18" s="6" t="inlineStr">
        <is>
          <t>11</t>
        </is>
      </c>
      <c r="B18" s="7" t="inlineStr">
        <is>
          <t>합계잔액시산표 출력</t>
        </is>
      </c>
      <c r="C18" s="8" t="inlineStr">
        <is>
          <t>차변 합계 = 대변 합계 확인 → [합잔 요약] 시트에 입력</t>
        </is>
      </c>
      <c r="D18" s="9" t="n"/>
    </row>
    <row r="19">
      <c r="A19" s="6" t="inlineStr">
        <is>
          <t>12</t>
        </is>
      </c>
      <c r="B19" s="7" t="inlineStr">
        <is>
          <t>잔액 3자 대사</t>
        </is>
      </c>
      <c r="C19" s="8" t="inlineStr">
        <is>
          <t>[잔액 검증] 시트에서 명세서·합잔·재무상태표 일치 확인</t>
        </is>
      </c>
      <c r="D19" s="9" t="n"/>
    </row>
    <row r="20">
      <c r="A20" s="6" t="inlineStr">
        <is>
          <t>13</t>
        </is>
      </c>
      <c r="B20" s="7" t="inlineStr">
        <is>
          <t>결산 보고</t>
        </is>
      </c>
      <c r="C20" s="8" t="inlineStr">
        <is>
          <t>대표 보고용 월 결산 보고서 작성·보고</t>
        </is>
      </c>
      <c r="D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24" customWidth="1" min="7" max="7"/>
  </cols>
  <sheetData>
    <row r="1">
      <c r="A1" s="1" t="inlineStr">
        <is>
          <t>월말 결산명세서</t>
        </is>
      </c>
    </row>
    <row r="2">
      <c r="A2" s="4" t="inlineStr">
        <is>
          <t>■ 노란색 칸 입력: 전월 잔액·당월 증가·당월 감소. 당월 잔액은 자동 계산됩니다. (금액 단위: 원, 예시값은 가상 데이터)</t>
        </is>
      </c>
    </row>
    <row r="3"/>
    <row r="4">
      <c r="A4" s="5" t="inlineStr">
        <is>
          <t>구분</t>
        </is>
      </c>
      <c r="B4" s="5" t="inlineStr">
        <is>
          <t>계정과목</t>
        </is>
      </c>
      <c r="C4" s="5" t="inlineStr">
        <is>
          <t>전월 잔액</t>
        </is>
      </c>
      <c r="D4" s="5" t="inlineStr">
        <is>
          <t>당월 증가</t>
        </is>
      </c>
      <c r="E4" s="5" t="inlineStr">
        <is>
          <t>당월 감소</t>
        </is>
      </c>
      <c r="F4" s="5" t="inlineStr">
        <is>
          <t>당월 잔액</t>
        </is>
      </c>
      <c r="G4" s="5" t="inlineStr">
        <is>
          <t>비고</t>
        </is>
      </c>
    </row>
    <row r="5">
      <c r="A5" s="6" t="inlineStr">
        <is>
          <t>자산</t>
        </is>
      </c>
      <c r="B5" s="8" t="inlineStr">
        <is>
          <t>현금</t>
        </is>
      </c>
      <c r="C5" s="10" t="n">
        <v>450000</v>
      </c>
      <c r="D5" s="10" t="n">
        <v>150000</v>
      </c>
      <c r="E5" s="10" t="n">
        <v>100000</v>
      </c>
      <c r="F5" s="11">
        <f>C5+D5-E5</f>
        <v/>
      </c>
      <c r="G5" s="8" t="inlineStr"/>
    </row>
    <row r="6">
      <c r="A6" s="6" t="inlineStr">
        <is>
          <t>자산</t>
        </is>
      </c>
      <c r="B6" s="8" t="inlineStr">
        <is>
          <t>보통예금</t>
        </is>
      </c>
      <c r="C6" s="10" t="n">
        <v>43430000</v>
      </c>
      <c r="D6" s="10" t="n">
        <v>14470000</v>
      </c>
      <c r="E6" s="10" t="n">
        <v>9650000</v>
      </c>
      <c r="F6" s="11">
        <f>C6+D6-E6</f>
        <v/>
      </c>
      <c r="G6" s="8" t="inlineStr"/>
    </row>
    <row r="7">
      <c r="A7" s="6" t="inlineStr">
        <is>
          <t>자산</t>
        </is>
      </c>
      <c r="B7" s="8" t="inlineStr">
        <is>
          <t>외상매출금</t>
        </is>
      </c>
      <c r="C7" s="10" t="n">
        <v>11070000</v>
      </c>
      <c r="D7" s="10" t="n">
        <v>3690000</v>
      </c>
      <c r="E7" s="10" t="n">
        <v>2460000</v>
      </c>
      <c r="F7" s="11">
        <f>C7+D7-E7</f>
        <v/>
      </c>
      <c r="G7" s="8" t="inlineStr"/>
    </row>
    <row r="8">
      <c r="A8" s="6" t="inlineStr">
        <is>
          <t>자산</t>
        </is>
      </c>
      <c r="B8" s="8" t="inlineStr">
        <is>
          <t>미수금</t>
        </is>
      </c>
      <c r="C8" s="10" t="n">
        <v>1620000</v>
      </c>
      <c r="D8" s="10" t="n">
        <v>540000</v>
      </c>
      <c r="E8" s="10" t="n">
        <v>360000</v>
      </c>
      <c r="F8" s="11">
        <f>C8+D8-E8</f>
        <v/>
      </c>
      <c r="G8" s="8" t="inlineStr"/>
    </row>
    <row r="9">
      <c r="A9" s="6" t="inlineStr">
        <is>
          <t>자산</t>
        </is>
      </c>
      <c r="B9" s="8" t="inlineStr">
        <is>
          <t>선급금</t>
        </is>
      </c>
      <c r="C9" s="10" t="n">
        <v>630000</v>
      </c>
      <c r="D9" s="10" t="n">
        <v>210000</v>
      </c>
      <c r="E9" s="10" t="n">
        <v>140000</v>
      </c>
      <c r="F9" s="11">
        <f>C9+D9-E9</f>
        <v/>
      </c>
      <c r="G9" s="8" t="inlineStr"/>
    </row>
    <row r="10">
      <c r="A10" s="6" t="inlineStr">
        <is>
          <t>자산</t>
        </is>
      </c>
      <c r="B10" s="8" t="inlineStr">
        <is>
          <t>재고자산</t>
        </is>
      </c>
      <c r="C10" s="10" t="n">
        <v>21060000</v>
      </c>
      <c r="D10" s="10" t="n">
        <v>7020000</v>
      </c>
      <c r="E10" s="10" t="n">
        <v>4680000</v>
      </c>
      <c r="F10" s="11">
        <f>C10+D10-E10</f>
        <v/>
      </c>
      <c r="G10" s="8" t="inlineStr"/>
    </row>
    <row r="11">
      <c r="A11" s="6" t="inlineStr">
        <is>
          <t>부채</t>
        </is>
      </c>
      <c r="B11" s="8" t="inlineStr">
        <is>
          <t>외상매입금</t>
        </is>
      </c>
      <c r="C11" s="10" t="n">
        <v>8010000</v>
      </c>
      <c r="D11" s="10" t="n">
        <v>2670000</v>
      </c>
      <c r="E11" s="10" t="n">
        <v>1780000</v>
      </c>
      <c r="F11" s="11">
        <f>C11+D11-E11</f>
        <v/>
      </c>
      <c r="G11" s="8" t="inlineStr"/>
    </row>
    <row r="12">
      <c r="A12" s="6" t="inlineStr">
        <is>
          <t>부채</t>
        </is>
      </c>
      <c r="B12" s="8" t="inlineStr">
        <is>
          <t>미지급금</t>
        </is>
      </c>
      <c r="C12" s="10" t="n">
        <v>2210000</v>
      </c>
      <c r="D12" s="10" t="n">
        <v>730000</v>
      </c>
      <c r="E12" s="10" t="n">
        <v>490000</v>
      </c>
      <c r="F12" s="11">
        <f>C12+D12-E12</f>
        <v/>
      </c>
      <c r="G12" s="8" t="inlineStr"/>
    </row>
    <row r="13">
      <c r="A13" s="6" t="inlineStr">
        <is>
          <t>부채</t>
        </is>
      </c>
      <c r="B13" s="8" t="inlineStr">
        <is>
          <t>예수금</t>
        </is>
      </c>
      <c r="C13" s="10" t="n">
        <v>1020000</v>
      </c>
      <c r="D13" s="10" t="n">
        <v>330000</v>
      </c>
      <c r="E13" s="10" t="n">
        <v>220000</v>
      </c>
      <c r="F13" s="11">
        <f>C13+D13-E13</f>
        <v/>
      </c>
      <c r="G13" s="8" t="inlineStr"/>
    </row>
    <row r="14">
      <c r="A14" s="6" t="inlineStr">
        <is>
          <t>부채</t>
        </is>
      </c>
      <c r="B14" s="8" t="inlineStr">
        <is>
          <t>부가세예수금</t>
        </is>
      </c>
      <c r="C14" s="10" t="n">
        <v>1920000</v>
      </c>
      <c r="D14" s="10" t="n">
        <v>640000</v>
      </c>
      <c r="E14" s="10" t="n">
        <v>420000</v>
      </c>
      <c r="F14" s="11">
        <f>C14+D14-E14</f>
        <v/>
      </c>
      <c r="G14" s="8" t="inlineStr"/>
    </row>
    <row r="15">
      <c r="A15" s="6" t="inlineStr">
        <is>
          <t>부채</t>
        </is>
      </c>
      <c r="B15" s="8" t="inlineStr">
        <is>
          <t>선수금</t>
        </is>
      </c>
      <c r="C15" s="10" t="n">
        <v>1350000</v>
      </c>
      <c r="D15" s="10" t="n">
        <v>450000</v>
      </c>
      <c r="E15" s="10" t="n">
        <v>300000</v>
      </c>
      <c r="F15" s="11">
        <f>C15+D15-E15</f>
        <v/>
      </c>
      <c r="G15" s="8" t="inlineStr"/>
    </row>
    <row r="16">
      <c r="A16" s="6" t="inlineStr">
        <is>
          <t>부채</t>
        </is>
      </c>
      <c r="B16" s="8" t="inlineStr">
        <is>
          <t>단기차입금</t>
        </is>
      </c>
      <c r="C16" s="10" t="n">
        <v>18000000</v>
      </c>
      <c r="D16" s="10" t="n">
        <v>6000000</v>
      </c>
      <c r="E16" s="10" t="n">
        <v>4000000</v>
      </c>
      <c r="F16" s="11">
        <f>C16+D16-E16</f>
        <v/>
      </c>
      <c r="G16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5" customWidth="1" min="3" max="3"/>
    <col width="15" customWidth="1" min="4" max="4"/>
  </cols>
  <sheetData>
    <row r="1">
      <c r="A1" s="1" t="inlineStr">
        <is>
          <t>합계잔액시산표 요약 (합잔)</t>
        </is>
      </c>
    </row>
    <row r="2">
      <c r="A2" s="4" t="inlineStr">
        <is>
          <t>■ 회계 프로그램에서 출력한 합계잔액시산표의 '잔액'을 계정별로 옮겨 적으세요. 자산은 차변, 부채는 대변에 입력합니다.</t>
        </is>
      </c>
    </row>
    <row r="3"/>
    <row r="4">
      <c r="A4" s="5" t="inlineStr">
        <is>
          <t>구분</t>
        </is>
      </c>
      <c r="B4" s="5" t="inlineStr">
        <is>
          <t>계정과목</t>
        </is>
      </c>
      <c r="C4" s="5" t="inlineStr">
        <is>
          <t>차변 잔액</t>
        </is>
      </c>
      <c r="D4" s="5" t="inlineStr">
        <is>
          <t>대변 잔액</t>
        </is>
      </c>
    </row>
    <row r="5">
      <c r="A5" s="6" t="inlineStr">
        <is>
          <t>자산</t>
        </is>
      </c>
      <c r="B5" s="8" t="inlineStr">
        <is>
          <t>현금</t>
        </is>
      </c>
      <c r="C5" s="10" t="n">
        <v>500000</v>
      </c>
      <c r="D5" s="10" t="n"/>
    </row>
    <row r="6">
      <c r="A6" s="6" t="inlineStr">
        <is>
          <t>자산</t>
        </is>
      </c>
      <c r="B6" s="8" t="inlineStr">
        <is>
          <t>보통예금</t>
        </is>
      </c>
      <c r="C6" s="10" t="n">
        <v>48250000</v>
      </c>
      <c r="D6" s="10" t="n"/>
    </row>
    <row r="7">
      <c r="A7" s="6" t="inlineStr">
        <is>
          <t>자산</t>
        </is>
      </c>
      <c r="B7" s="8" t="inlineStr">
        <is>
          <t>외상매출금</t>
        </is>
      </c>
      <c r="C7" s="10" t="n">
        <v>12300000</v>
      </c>
      <c r="D7" s="10" t="n"/>
    </row>
    <row r="8">
      <c r="A8" s="6" t="inlineStr">
        <is>
          <t>자산</t>
        </is>
      </c>
      <c r="B8" s="8" t="inlineStr">
        <is>
          <t>미수금</t>
        </is>
      </c>
      <c r="C8" s="10" t="n">
        <v>1800000</v>
      </c>
      <c r="D8" s="10" t="n"/>
    </row>
    <row r="9">
      <c r="A9" s="6" t="inlineStr">
        <is>
          <t>자산</t>
        </is>
      </c>
      <c r="B9" s="8" t="inlineStr">
        <is>
          <t>선급금</t>
        </is>
      </c>
      <c r="C9" s="10" t="n">
        <v>700000</v>
      </c>
      <c r="D9" s="10" t="n"/>
    </row>
    <row r="10">
      <c r="A10" s="6" t="inlineStr">
        <is>
          <t>자산</t>
        </is>
      </c>
      <c r="B10" s="8" t="inlineStr">
        <is>
          <t>재고자산</t>
        </is>
      </c>
      <c r="C10" s="10" t="n">
        <v>23400000</v>
      </c>
      <c r="D10" s="10" t="n"/>
    </row>
    <row r="11">
      <c r="A11" s="6" t="inlineStr">
        <is>
          <t>부채</t>
        </is>
      </c>
      <c r="B11" s="8" t="inlineStr">
        <is>
          <t>외상매입금</t>
        </is>
      </c>
      <c r="C11" s="10" t="n"/>
      <c r="D11" s="10" t="n">
        <v>8900000</v>
      </c>
    </row>
    <row r="12">
      <c r="A12" s="6" t="inlineStr">
        <is>
          <t>부채</t>
        </is>
      </c>
      <c r="B12" s="8" t="inlineStr">
        <is>
          <t>미지급금</t>
        </is>
      </c>
      <c r="C12" s="10" t="n"/>
      <c r="D12" s="10" t="n">
        <v>2450000</v>
      </c>
    </row>
    <row r="13">
      <c r="A13" s="6" t="inlineStr">
        <is>
          <t>부채</t>
        </is>
      </c>
      <c r="B13" s="8" t="inlineStr">
        <is>
          <t>예수금</t>
        </is>
      </c>
      <c r="C13" s="10" t="n"/>
      <c r="D13" s="10" t="n">
        <v>1130000</v>
      </c>
    </row>
    <row r="14">
      <c r="A14" s="6" t="inlineStr">
        <is>
          <t>부채</t>
        </is>
      </c>
      <c r="B14" s="8" t="inlineStr">
        <is>
          <t>부가세예수금</t>
        </is>
      </c>
      <c r="C14" s="10" t="n"/>
      <c r="D14" s="10" t="n">
        <v>2140000</v>
      </c>
    </row>
    <row r="15">
      <c r="A15" s="6" t="inlineStr">
        <is>
          <t>부채</t>
        </is>
      </c>
      <c r="B15" s="8" t="inlineStr">
        <is>
          <t>선수금</t>
        </is>
      </c>
      <c r="C15" s="10" t="n"/>
      <c r="D15" s="10" t="n">
        <v>1500000</v>
      </c>
    </row>
    <row r="16">
      <c r="A16" s="6" t="inlineStr">
        <is>
          <t>부채</t>
        </is>
      </c>
      <c r="B16" s="8" t="inlineStr">
        <is>
          <t>단기차입금</t>
        </is>
      </c>
      <c r="C16" s="10" t="n"/>
      <c r="D16" s="10" t="n">
        <v>20000000</v>
      </c>
    </row>
    <row r="17">
      <c r="B17" s="7" t="inlineStr">
        <is>
          <t>합계</t>
        </is>
      </c>
      <c r="C17" s="12">
        <f>SUM(C5:C16)</f>
        <v/>
      </c>
      <c r="D17" s="12">
        <f>SUM(D5:D16)</f>
        <v/>
      </c>
    </row>
    <row r="18">
      <c r="B18" s="4" t="inlineStr">
        <is>
          <t>※ 실제 시산표는 전 계정 차변=대변이 일치합니다. 이 요약표는 잔액 대사용 핵심 계정만 담습니다.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잔액 3자 대사 — 결산명세서 · 합잔 · 재무상태표</t>
        </is>
      </c>
    </row>
    <row r="2">
      <c r="A2" s="4" t="inlineStr">
        <is>
          <t>■ 노란색 칸(재무상태표 잔액)만 입력하세요. 명세서·합잔 잔액은 앞 시트에서 자동으로 가져오고, 세 값이 다르면 '✖ 확인 필요'가 표시됩니다.</t>
        </is>
      </c>
    </row>
    <row r="3"/>
    <row r="4">
      <c r="A4" s="5" t="inlineStr">
        <is>
          <t>구분</t>
        </is>
      </c>
      <c r="B4" s="5" t="inlineStr">
        <is>
          <t>계정과목</t>
        </is>
      </c>
      <c r="C4" s="5" t="inlineStr">
        <is>
          <t>① 결산명세서 잔액</t>
        </is>
      </c>
      <c r="D4" s="5" t="inlineStr">
        <is>
          <t>② 합잔 잔액</t>
        </is>
      </c>
      <c r="E4" s="5" t="inlineStr">
        <is>
          <t>③ 재무상태표 잔액</t>
        </is>
      </c>
      <c r="F4" s="5" t="inlineStr">
        <is>
          <t>차이 (①-②)</t>
        </is>
      </c>
      <c r="G4" s="5" t="inlineStr">
        <is>
          <t>차이 (②-③)</t>
        </is>
      </c>
      <c r="H4" s="5" t="inlineStr">
        <is>
          <t>판정</t>
        </is>
      </c>
    </row>
    <row r="5">
      <c r="A5" s="6" t="inlineStr">
        <is>
          <t>자산</t>
        </is>
      </c>
      <c r="B5" s="8" t="inlineStr">
        <is>
          <t>현금</t>
        </is>
      </c>
      <c r="C5" s="13">
        <f>IFERROR(INDEX(결산명세서!$F$5:$F$16,MATCH($B5,결산명세서!$B$5:$B$16,0)),"")</f>
        <v/>
      </c>
      <c r="D5" s="13">
        <f>IFERROR(INDEX('합잔 요약'!$C$5:$C$16,MATCH($B5,'합잔 요약'!$B$5:$B$16,0))+INDEX('합잔 요약'!$D$5:$D$16,MATCH($B5,'합잔 요약'!$B$5:$B$16,0)),"")</f>
        <v/>
      </c>
      <c r="E5" s="10" t="n">
        <v>500000</v>
      </c>
      <c r="F5" s="11">
        <f>C5-D5</f>
        <v/>
      </c>
      <c r="G5" s="11">
        <f>D5-E5</f>
        <v/>
      </c>
      <c r="H5" s="6">
        <f>IF(AND(F5=0,G5=0),"✔ 일치","✖ 확인 필요")</f>
        <v/>
      </c>
    </row>
    <row r="6">
      <c r="A6" s="6" t="inlineStr">
        <is>
          <t>자산</t>
        </is>
      </c>
      <c r="B6" s="8" t="inlineStr">
        <is>
          <t>보통예금</t>
        </is>
      </c>
      <c r="C6" s="13">
        <f>IFERROR(INDEX(결산명세서!$F$5:$F$16,MATCH($B6,결산명세서!$B$5:$B$16,0)),"")</f>
        <v/>
      </c>
      <c r="D6" s="13">
        <f>IFERROR(INDEX('합잔 요약'!$C$5:$C$16,MATCH($B6,'합잔 요약'!$B$5:$B$16,0))+INDEX('합잔 요약'!$D$5:$D$16,MATCH($B6,'합잔 요약'!$B$5:$B$16,0)),"")</f>
        <v/>
      </c>
      <c r="E6" s="10" t="n">
        <v>48250000</v>
      </c>
      <c r="F6" s="11">
        <f>C6-D6</f>
        <v/>
      </c>
      <c r="G6" s="11">
        <f>D6-E6</f>
        <v/>
      </c>
      <c r="H6" s="6">
        <f>IF(AND(F6=0,G6=0),"✔ 일치","✖ 확인 필요")</f>
        <v/>
      </c>
    </row>
    <row r="7">
      <c r="A7" s="6" t="inlineStr">
        <is>
          <t>자산</t>
        </is>
      </c>
      <c r="B7" s="8" t="inlineStr">
        <is>
          <t>외상매출금</t>
        </is>
      </c>
      <c r="C7" s="13">
        <f>IFERROR(INDEX(결산명세서!$F$5:$F$16,MATCH($B7,결산명세서!$B$5:$B$16,0)),"")</f>
        <v/>
      </c>
      <c r="D7" s="13">
        <f>IFERROR(INDEX('합잔 요약'!$C$5:$C$16,MATCH($B7,'합잔 요약'!$B$5:$B$16,0))+INDEX('합잔 요약'!$D$5:$D$16,MATCH($B7,'합잔 요약'!$B$5:$B$16,0)),"")</f>
        <v/>
      </c>
      <c r="E7" s="10" t="n">
        <v>12300000</v>
      </c>
      <c r="F7" s="11">
        <f>C7-D7</f>
        <v/>
      </c>
      <c r="G7" s="11">
        <f>D7-E7</f>
        <v/>
      </c>
      <c r="H7" s="6">
        <f>IF(AND(F7=0,G7=0),"✔ 일치","✖ 확인 필요")</f>
        <v/>
      </c>
    </row>
    <row r="8">
      <c r="A8" s="6" t="inlineStr">
        <is>
          <t>자산</t>
        </is>
      </c>
      <c r="B8" s="8" t="inlineStr">
        <is>
          <t>미수금</t>
        </is>
      </c>
      <c r="C8" s="13">
        <f>IFERROR(INDEX(결산명세서!$F$5:$F$16,MATCH($B8,결산명세서!$B$5:$B$16,0)),"")</f>
        <v/>
      </c>
      <c r="D8" s="13">
        <f>IFERROR(INDEX('합잔 요약'!$C$5:$C$16,MATCH($B8,'합잔 요약'!$B$5:$B$16,0))+INDEX('합잔 요약'!$D$5:$D$16,MATCH($B8,'합잔 요약'!$B$5:$B$16,0)),"")</f>
        <v/>
      </c>
      <c r="E8" s="10" t="n">
        <v>1800000</v>
      </c>
      <c r="F8" s="11">
        <f>C8-D8</f>
        <v/>
      </c>
      <c r="G8" s="11">
        <f>D8-E8</f>
        <v/>
      </c>
      <c r="H8" s="6">
        <f>IF(AND(F8=0,G8=0),"✔ 일치","✖ 확인 필요")</f>
        <v/>
      </c>
    </row>
    <row r="9">
      <c r="A9" s="6" t="inlineStr">
        <is>
          <t>자산</t>
        </is>
      </c>
      <c r="B9" s="8" t="inlineStr">
        <is>
          <t>선급금</t>
        </is>
      </c>
      <c r="C9" s="13">
        <f>IFERROR(INDEX(결산명세서!$F$5:$F$16,MATCH($B9,결산명세서!$B$5:$B$16,0)),"")</f>
        <v/>
      </c>
      <c r="D9" s="13">
        <f>IFERROR(INDEX('합잔 요약'!$C$5:$C$16,MATCH($B9,'합잔 요약'!$B$5:$B$16,0))+INDEX('합잔 요약'!$D$5:$D$16,MATCH($B9,'합잔 요약'!$B$5:$B$16,0)),"")</f>
        <v/>
      </c>
      <c r="E9" s="10" t="n">
        <v>700000</v>
      </c>
      <c r="F9" s="11">
        <f>C9-D9</f>
        <v/>
      </c>
      <c r="G9" s="11">
        <f>D9-E9</f>
        <v/>
      </c>
      <c r="H9" s="6">
        <f>IF(AND(F9=0,G9=0),"✔ 일치","✖ 확인 필요")</f>
        <v/>
      </c>
    </row>
    <row r="10">
      <c r="A10" s="6" t="inlineStr">
        <is>
          <t>자산</t>
        </is>
      </c>
      <c r="B10" s="8" t="inlineStr">
        <is>
          <t>재고자산</t>
        </is>
      </c>
      <c r="C10" s="13">
        <f>IFERROR(INDEX(결산명세서!$F$5:$F$16,MATCH($B10,결산명세서!$B$5:$B$16,0)),"")</f>
        <v/>
      </c>
      <c r="D10" s="13">
        <f>IFERROR(INDEX('합잔 요약'!$C$5:$C$16,MATCH($B10,'합잔 요약'!$B$5:$B$16,0))+INDEX('합잔 요약'!$D$5:$D$16,MATCH($B10,'합잔 요약'!$B$5:$B$16,0)),"")</f>
        <v/>
      </c>
      <c r="E10" s="10" t="n">
        <v>23400000</v>
      </c>
      <c r="F10" s="11">
        <f>C10-D10</f>
        <v/>
      </c>
      <c r="G10" s="11">
        <f>D10-E10</f>
        <v/>
      </c>
      <c r="H10" s="6">
        <f>IF(AND(F10=0,G10=0),"✔ 일치","✖ 확인 필요")</f>
        <v/>
      </c>
    </row>
    <row r="11">
      <c r="A11" s="6" t="inlineStr">
        <is>
          <t>부채</t>
        </is>
      </c>
      <c r="B11" s="8" t="inlineStr">
        <is>
          <t>외상매입금</t>
        </is>
      </c>
      <c r="C11" s="13">
        <f>IFERROR(INDEX(결산명세서!$F$5:$F$16,MATCH($B11,결산명세서!$B$5:$B$16,0)),"")</f>
        <v/>
      </c>
      <c r="D11" s="13">
        <f>IFERROR(INDEX('합잔 요약'!$C$5:$C$16,MATCH($B11,'합잔 요약'!$B$5:$B$16,0))+INDEX('합잔 요약'!$D$5:$D$16,MATCH($B11,'합잔 요약'!$B$5:$B$16,0)),"")</f>
        <v/>
      </c>
      <c r="E11" s="10" t="n">
        <v>8900000</v>
      </c>
      <c r="F11" s="11">
        <f>C11-D11</f>
        <v/>
      </c>
      <c r="G11" s="11">
        <f>D11-E11</f>
        <v/>
      </c>
      <c r="H11" s="6">
        <f>IF(AND(F11=0,G11=0),"✔ 일치","✖ 확인 필요")</f>
        <v/>
      </c>
    </row>
    <row r="12">
      <c r="A12" s="6" t="inlineStr">
        <is>
          <t>부채</t>
        </is>
      </c>
      <c r="B12" s="8" t="inlineStr">
        <is>
          <t>미지급금</t>
        </is>
      </c>
      <c r="C12" s="13">
        <f>IFERROR(INDEX(결산명세서!$F$5:$F$16,MATCH($B12,결산명세서!$B$5:$B$16,0)),"")</f>
        <v/>
      </c>
      <c r="D12" s="13">
        <f>IFERROR(INDEX('합잔 요약'!$C$5:$C$16,MATCH($B12,'합잔 요약'!$B$5:$B$16,0))+INDEX('합잔 요약'!$D$5:$D$16,MATCH($B12,'합잔 요약'!$B$5:$B$16,0)),"")</f>
        <v/>
      </c>
      <c r="E12" s="10" t="n">
        <v>2450000</v>
      </c>
      <c r="F12" s="11">
        <f>C12-D12</f>
        <v/>
      </c>
      <c r="G12" s="11">
        <f>D12-E12</f>
        <v/>
      </c>
      <c r="H12" s="6">
        <f>IF(AND(F12=0,G12=0),"✔ 일치","✖ 확인 필요")</f>
        <v/>
      </c>
    </row>
    <row r="13">
      <c r="A13" s="6" t="inlineStr">
        <is>
          <t>부채</t>
        </is>
      </c>
      <c r="B13" s="8" t="inlineStr">
        <is>
          <t>예수금</t>
        </is>
      </c>
      <c r="C13" s="13">
        <f>IFERROR(INDEX(결산명세서!$F$5:$F$16,MATCH($B13,결산명세서!$B$5:$B$16,0)),"")</f>
        <v/>
      </c>
      <c r="D13" s="13">
        <f>IFERROR(INDEX('합잔 요약'!$C$5:$C$16,MATCH($B13,'합잔 요약'!$B$5:$B$16,0))+INDEX('합잔 요약'!$D$5:$D$16,MATCH($B13,'합잔 요약'!$B$5:$B$16,0)),"")</f>
        <v/>
      </c>
      <c r="E13" s="10" t="n">
        <v>1130000</v>
      </c>
      <c r="F13" s="11">
        <f>C13-D13</f>
        <v/>
      </c>
      <c r="G13" s="11">
        <f>D13-E13</f>
        <v/>
      </c>
      <c r="H13" s="6">
        <f>IF(AND(F13=0,G13=0),"✔ 일치","✖ 확인 필요")</f>
        <v/>
      </c>
    </row>
    <row r="14">
      <c r="A14" s="6" t="inlineStr">
        <is>
          <t>부채</t>
        </is>
      </c>
      <c r="B14" s="8" t="inlineStr">
        <is>
          <t>부가세예수금</t>
        </is>
      </c>
      <c r="C14" s="13">
        <f>IFERROR(INDEX(결산명세서!$F$5:$F$16,MATCH($B14,결산명세서!$B$5:$B$16,0)),"")</f>
        <v/>
      </c>
      <c r="D14" s="13">
        <f>IFERROR(INDEX('합잔 요약'!$C$5:$C$16,MATCH($B14,'합잔 요약'!$B$5:$B$16,0))+INDEX('합잔 요약'!$D$5:$D$16,MATCH($B14,'합잔 요약'!$B$5:$B$16,0)),"")</f>
        <v/>
      </c>
      <c r="E14" s="10" t="n">
        <v>2140000</v>
      </c>
      <c r="F14" s="11">
        <f>C14-D14</f>
        <v/>
      </c>
      <c r="G14" s="11">
        <f>D14-E14</f>
        <v/>
      </c>
      <c r="H14" s="6">
        <f>IF(AND(F14=0,G14=0),"✔ 일치","✖ 확인 필요")</f>
        <v/>
      </c>
    </row>
    <row r="15">
      <c r="A15" s="6" t="inlineStr">
        <is>
          <t>부채</t>
        </is>
      </c>
      <c r="B15" s="8" t="inlineStr">
        <is>
          <t>선수금</t>
        </is>
      </c>
      <c r="C15" s="13">
        <f>IFERROR(INDEX(결산명세서!$F$5:$F$16,MATCH($B15,결산명세서!$B$5:$B$16,0)),"")</f>
        <v/>
      </c>
      <c r="D15" s="13">
        <f>IFERROR(INDEX('합잔 요약'!$C$5:$C$16,MATCH($B15,'합잔 요약'!$B$5:$B$16,0))+INDEX('합잔 요약'!$D$5:$D$16,MATCH($B15,'합잔 요약'!$B$5:$B$16,0)),"")</f>
        <v/>
      </c>
      <c r="E15" s="10" t="n">
        <v>1500000</v>
      </c>
      <c r="F15" s="11">
        <f>C15-D15</f>
        <v/>
      </c>
      <c r="G15" s="11">
        <f>D15-E15</f>
        <v/>
      </c>
      <c r="H15" s="6">
        <f>IF(AND(F15=0,G15=0),"✔ 일치","✖ 확인 필요")</f>
        <v/>
      </c>
    </row>
    <row r="16">
      <c r="A16" s="6" t="inlineStr">
        <is>
          <t>부채</t>
        </is>
      </c>
      <c r="B16" s="8" t="inlineStr">
        <is>
          <t>단기차입금</t>
        </is>
      </c>
      <c r="C16" s="13">
        <f>IFERROR(INDEX(결산명세서!$F$5:$F$16,MATCH($B16,결산명세서!$B$5:$B$16,0)),"")</f>
        <v/>
      </c>
      <c r="D16" s="13">
        <f>IFERROR(INDEX('합잔 요약'!$C$5:$C$16,MATCH($B16,'합잔 요약'!$B$5:$B$16,0))+INDEX('합잔 요약'!$D$5:$D$16,MATCH($B16,'합잔 요약'!$B$5:$B$16,0)),"")</f>
        <v/>
      </c>
      <c r="E16" s="10" t="n">
        <v>20000000</v>
      </c>
      <c r="F16" s="11">
        <f>C16-D16</f>
        <v/>
      </c>
      <c r="G16" s="11">
        <f>D16-E16</f>
        <v/>
      </c>
      <c r="H16" s="6">
        <f>IF(AND(F16=0,G16=0),"✔ 일치","✖ 확인 필요")</f>
        <v/>
      </c>
    </row>
    <row r="17">
      <c r="B17" s="7" t="inlineStr">
        <is>
          <t>합계</t>
        </is>
      </c>
      <c r="C17" s="12">
        <f>SUM(C5:C16)</f>
        <v/>
      </c>
      <c r="D17" s="12">
        <f>SUM(D5:D16)</f>
        <v/>
      </c>
      <c r="E17" s="12">
        <f>SUM(E5:E16)</f>
        <v/>
      </c>
      <c r="H17" s="14">
        <f>IF(COUNTIF(H5:H16,"✖ 확인 필요")=0,"✔ 전체 일치","✖ 불일치 "&amp;COUNTIF(H5:H16,"✖ 확인 필요")&amp;"건")</f>
        <v/>
      </c>
    </row>
    <row r="18"/>
    <row r="19">
      <c r="A19" s="4" t="inlineStr">
        <is>
          <t>※ 불일치가 나오면: 전표 누락(합잔에만 반영), 명세서 집계 오류, 재무상태표 출력 시점 차이 순으로 확인하세요.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2026-09-16T04:12:45Z</dcterms:created>
  <dcterms:modified xsi:type="dcterms:W3CDTF">2026-09-16T04:12:45Z</dcterms:modified>
</cp:coreProperties>
</file>