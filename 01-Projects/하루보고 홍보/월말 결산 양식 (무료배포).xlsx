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법" sheetId="1" state="visible" r:id="rId1"/>
    <sheet name="원장입력" sheetId="2" state="visible" r:id="rId2"/>
    <sheet name="계정분류" sheetId="3" state="visible" r:id="rId3"/>
    <sheet name="결산조정" sheetId="4" state="visible" r:id="rId4"/>
    <sheet name="결산명세서" sheetId="5" state="visible" r:id="rId5"/>
    <sheet name="잔액검증" sheetId="6" state="visible" r:id="rId6"/>
    <sheet name="명세서인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1">
    <font>
      <name val="Calibri"/>
      <family val="2"/>
      <color theme="1"/>
      <sz val="11"/>
      <scheme val="minor"/>
    </font>
    <font>
      <name val="맑은 고딕"/>
      <b val="1"/>
      <sz val="15"/>
    </font>
    <font>
      <name val="맑은 고딕"/>
      <sz val="11"/>
    </font>
    <font>
      <name val="맑은 고딕"/>
      <b val="1"/>
      <sz val="11"/>
    </font>
    <font>
      <name val="맑은 고딕"/>
      <b val="1"/>
      <sz val="14"/>
    </font>
    <font>
      <name val="맑은 고딕"/>
      <color rgb="00808080"/>
      <sz val="9"/>
    </font>
    <font>
      <name val="맑은 고딕"/>
      <color rgb="000000FF"/>
      <sz val="11"/>
    </font>
    <font>
      <name val="맑은 고딕"/>
      <color rgb="00008000"/>
      <sz val="11"/>
    </font>
    <font>
      <name val="맑은 고딕"/>
      <b val="1"/>
      <sz val="12"/>
    </font>
    <font>
      <name val="맑은 고딕"/>
      <b val="1"/>
      <sz val="13"/>
    </font>
    <font>
      <name val="맑은 고딕"/>
      <color theme="1"/>
      <sz val="11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6" fillId="3" borderId="1" pivotButton="0" quotePrefix="0" xfId="0"/>
    <xf numFmtId="164" fontId="6" fillId="3" borderId="1" pivotButton="0" quotePrefix="0" xfId="0"/>
    <xf numFmtId="0" fontId="5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0" fontId="10" fillId="0" borderId="1" pivotButton="0" quotePrefix="0" xfId="0"/>
    <xf numFmtId="0" fontId="10" fillId="0" borderId="1" applyAlignment="1" pivotButton="0" quotePrefix="0" xfId="0">
      <alignment horizontal="center" vertical="center"/>
    </xf>
    <xf numFmtId="164" fontId="10" fillId="0" borderId="1" pivotButton="0" quotePrefix="0" xfId="0"/>
    <xf numFmtId="0" fontId="0" fillId="0" borderId="1" pivotButton="0" quotePrefix="0" xfId="0"/>
    <xf numFmtId="164" fontId="7" fillId="0" borderId="1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월말 결산 양식 — 원장 자동집계판</t>
        </is>
      </c>
    </row>
    <row r="2">
      <c r="A2" s="2" t="inlineStr"/>
    </row>
    <row r="3">
      <c r="A3" s="3" t="inlineStr">
        <is>
          <t>■ 사용 순서</t>
        </is>
      </c>
    </row>
    <row r="4">
      <c r="A4" s="2" t="inlineStr">
        <is>
          <t>1. [원장입력] 시트에 회계 프로그램의 계정별원장(또는 거래처원장)을 붙여넣습니다.</t>
        </is>
      </c>
    </row>
    <row r="5">
      <c r="A5" s="2" t="inlineStr">
        <is>
          <t xml:space="preserve">   · 열 순서: 날짜 / 계정과목 / 거래처 / 적요 / 차변 / 대변  (전기이월도 한 줄로 포함)</t>
        </is>
      </c>
    </row>
    <row r="6">
      <c r="A6" s="2" t="inlineStr">
        <is>
          <t>2. [결산명세서]가 원장에 나오는 계정과목을 자동으로 찾아 차변·대변·잔액을 집계합니다. 손댈 것 없음.</t>
        </is>
      </c>
    </row>
    <row r="7">
      <c r="A7" s="2" t="inlineStr">
        <is>
          <t>3. [잔액검증]에 합계잔액시산표 잔액과 재무상태표 잔액만 입력하면 3자 대사가 자동 판정됩니다.</t>
        </is>
      </c>
    </row>
    <row r="8">
      <c r="A8" s="2" t="inlineStr">
        <is>
          <t>4. '✖ 확인 필요'가 뜬 계정은 [결산조정] 시트에 조정 전표를 입력하세요 — 입력 즉시 전체 반영됩니다.</t>
        </is>
      </c>
    </row>
    <row r="9">
      <c r="A9" s="2" t="inlineStr">
        <is>
          <t>5. [명세서인쇄] 시트를 인쇄하면 계정별 결산 조정 명세서가 한 계정당 1페이지로 나옵니다.</t>
        </is>
      </c>
    </row>
    <row r="10">
      <c r="A10" s="2" t="inlineStr">
        <is>
          <t xml:space="preserve">   · 계정이 없는 뒤쪽 페이지는 비어 있으니, 인쇄 창에서 페이지 범위를 계정 수만큼 지정하세요.</t>
        </is>
      </c>
    </row>
    <row r="11">
      <c r="A11" s="2" t="inlineStr"/>
    </row>
    <row r="12">
      <c r="A12" s="3" t="inlineStr">
        <is>
          <t>■ 계정 구분(자산/부채 등)은 [계정분류] 시트로 자동 판별합니다</t>
        </is>
      </c>
    </row>
    <row r="13">
      <c r="A13" s="2" t="inlineStr">
        <is>
          <t>· 표준 계정 45개가 미리 들어 있고, 없는 계정이 '미분류'로 뜨면 [계정분류]에 한 줄 추가하면 됩니다.</t>
        </is>
      </c>
    </row>
    <row r="14">
      <c r="A14" s="2" t="inlineStr">
        <is>
          <t>· 자산·비용 = 차변 잔액, 부채·자본·수익 = 대변 잔액으로 계산합니다.</t>
        </is>
      </c>
    </row>
    <row r="15">
      <c r="A15" s="2" t="inlineStr"/>
    </row>
    <row r="16">
      <c r="A16" s="3" t="inlineStr">
        <is>
          <t>■ 색 안내</t>
        </is>
      </c>
    </row>
    <row r="17">
      <c r="A17" s="2" t="inlineStr">
        <is>
          <t>· 노란색 칸 = 직접 입력하는 곳   · 검은 글씨 = 자동 계산 (수정 금지)</t>
        </is>
      </c>
    </row>
    <row r="18">
      <c r="A18" s="2" t="inlineStr">
        <is>
          <t>· 예시값은 전부 가상 데이터입니다. [원장입력]·[결산조정]의 예시를 지우고 실제 자료를 붙여넣으세요.</t>
        </is>
      </c>
    </row>
    <row r="19">
      <c r="A19" s="2" t="inlineStr">
        <is>
          <t>· 예시에는 미지급금이 일부러 50,000원 어긋나 있고, [결산조정] 한 줄로 맞춰지는 과정을 보여줍니다.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6" customWidth="1" min="4" max="4"/>
    <col width="13" customWidth="1" min="5" max="5"/>
    <col width="13" customWidth="1" min="6" max="6"/>
    <col width="16" customWidth="1" min="7" max="7"/>
    <col width="13" customWidth="1" min="8" max="8"/>
  </cols>
  <sheetData>
    <row r="1">
      <c r="A1" s="4" t="inlineStr">
        <is>
          <t>원장 입력 (계정별원장·거래처원장 붙여넣기)</t>
        </is>
      </c>
    </row>
    <row r="2">
      <c r="A2" s="5" t="inlineStr">
        <is>
          <t>■ 5행부터 붙여넣으세요. G·H열은 자동 수식이니 수정 금지. 200행 넘으면 G·H열 수식을 아래로 끌어 채우세요.</t>
        </is>
      </c>
    </row>
    <row r="3"/>
    <row r="4">
      <c r="A4" s="6" t="inlineStr">
        <is>
          <t>날짜</t>
        </is>
      </c>
      <c r="B4" s="6" t="inlineStr">
        <is>
          <t>계정과목</t>
        </is>
      </c>
      <c r="C4" s="6" t="inlineStr">
        <is>
          <t>거래처</t>
        </is>
      </c>
      <c r="D4" s="6" t="inlineStr">
        <is>
          <t>적요</t>
        </is>
      </c>
      <c r="E4" s="6" t="inlineStr">
        <is>
          <t>차변</t>
        </is>
      </c>
      <c r="F4" s="6" t="inlineStr">
        <is>
          <t>대변</t>
        </is>
      </c>
      <c r="G4" s="6" t="inlineStr">
        <is>
          <t>집계키(자동)</t>
        </is>
      </c>
      <c r="H4" s="6" t="inlineStr">
        <is>
          <t>신규계정(자동)</t>
        </is>
      </c>
    </row>
    <row r="5">
      <c r="A5" s="7" t="inlineStr">
        <is>
          <t>2026-09-01</t>
        </is>
      </c>
      <c r="B5" s="7" t="inlineStr">
        <is>
          <t>현금</t>
        </is>
      </c>
      <c r="C5" s="7" t="inlineStr"/>
      <c r="D5" s="7" t="inlineStr">
        <is>
          <t>전기이월</t>
        </is>
      </c>
      <c r="E5" s="8" t="n">
        <v>480000</v>
      </c>
      <c r="F5" s="8" t="n"/>
      <c r="G5" s="9">
        <f>IF($B5="","",$B5&amp;"#"&amp;COUNTIF($B$5:$B5,$B5))</f>
        <v/>
      </c>
      <c r="H5" s="9">
        <f>IF($B5="","",IF(COUNTIF($B$5:$B5,$B5)=1,MAX($H$4:$H4)+1,""))</f>
        <v/>
      </c>
    </row>
    <row r="6">
      <c r="A6" s="7" t="inlineStr">
        <is>
          <t>2026-09-12</t>
        </is>
      </c>
      <c r="B6" s="7" t="inlineStr">
        <is>
          <t>현금</t>
        </is>
      </c>
      <c r="C6" s="7" t="inlineStr"/>
      <c r="D6" s="7" t="inlineStr">
        <is>
          <t>현금 매출</t>
        </is>
      </c>
      <c r="E6" s="8" t="n">
        <v>70000</v>
      </c>
      <c r="F6" s="8" t="n"/>
      <c r="G6" s="9">
        <f>IF($B6="","",$B6&amp;"#"&amp;COUNTIF($B$5:$B6,$B6))</f>
        <v/>
      </c>
      <c r="H6" s="9">
        <f>IF($B6="","",IF(COUNTIF($B$5:$B6,$B6)=1,MAX($H$4:$H5)+1,""))</f>
        <v/>
      </c>
    </row>
    <row r="7">
      <c r="A7" s="7" t="inlineStr">
        <is>
          <t>2026-09-14</t>
        </is>
      </c>
      <c r="B7" s="7" t="inlineStr">
        <is>
          <t>현금</t>
        </is>
      </c>
      <c r="C7" s="7" t="inlineStr">
        <is>
          <t>한빛문구</t>
        </is>
      </c>
      <c r="D7" s="7" t="inlineStr">
        <is>
          <t>소모품 구입</t>
        </is>
      </c>
      <c r="E7" s="8" t="n"/>
      <c r="F7" s="8" t="n">
        <v>50000</v>
      </c>
      <c r="G7" s="9">
        <f>IF($B7="","",$B7&amp;"#"&amp;COUNTIF($B$5:$B7,$B7))</f>
        <v/>
      </c>
      <c r="H7" s="9">
        <f>IF($B7="","",IF(COUNTIF($B$5:$B7,$B7)=1,MAX($H$4:$H6)+1,""))</f>
        <v/>
      </c>
    </row>
    <row r="8">
      <c r="A8" s="7" t="inlineStr">
        <is>
          <t>2026-09-01</t>
        </is>
      </c>
      <c r="B8" s="7" t="inlineStr">
        <is>
          <t>보통예금</t>
        </is>
      </c>
      <c r="C8" s="7" t="inlineStr"/>
      <c r="D8" s="7" t="inlineStr">
        <is>
          <t>전기이월</t>
        </is>
      </c>
      <c r="E8" s="8" t="n">
        <v>41200000</v>
      </c>
      <c r="F8" s="8" t="n"/>
      <c r="G8" s="9">
        <f>IF($B8="","",$B8&amp;"#"&amp;COUNTIF($B$5:$B8,$B8))</f>
        <v/>
      </c>
      <c r="H8" s="9">
        <f>IF($B8="","",IF(COUNTIF($B$5:$B8,$B8)=1,MAX($H$4:$H7)+1,""))</f>
        <v/>
      </c>
    </row>
    <row r="9">
      <c r="A9" s="7" t="inlineStr">
        <is>
          <t>2026-09-05</t>
        </is>
      </c>
      <c r="B9" s="7" t="inlineStr">
        <is>
          <t>보통예금</t>
        </is>
      </c>
      <c r="C9" s="7" t="inlineStr">
        <is>
          <t>미래식품</t>
        </is>
      </c>
      <c r="D9" s="7" t="inlineStr">
        <is>
          <t>납품 대금 입금</t>
        </is>
      </c>
      <c r="E9" s="8" t="n">
        <v>5720000</v>
      </c>
      <c r="F9" s="8" t="n"/>
      <c r="G9" s="9">
        <f>IF($B9="","",$B9&amp;"#"&amp;COUNTIF($B$5:$B9,$B9))</f>
        <v/>
      </c>
      <c r="H9" s="9">
        <f>IF($B9="","",IF(COUNTIF($B$5:$B9,$B9)=1,MAX($H$4:$H8)+1,""))</f>
        <v/>
      </c>
    </row>
    <row r="10">
      <c r="A10" s="7" t="inlineStr">
        <is>
          <t>2026-09-12</t>
        </is>
      </c>
      <c r="B10" s="7" t="inlineStr">
        <is>
          <t>보통예금</t>
        </is>
      </c>
      <c r="C10" s="7" t="inlineStr">
        <is>
          <t>스마트스토어</t>
        </is>
      </c>
      <c r="D10" s="7" t="inlineStr">
        <is>
          <t>온라인 정산 입금</t>
        </is>
      </c>
      <c r="E10" s="8" t="n">
        <v>2364000</v>
      </c>
      <c r="F10" s="8" t="n"/>
      <c r="G10" s="9">
        <f>IF($B10="","",$B10&amp;"#"&amp;COUNTIF($B$5:$B10,$B10))</f>
        <v/>
      </c>
      <c r="H10" s="9">
        <f>IF($B10="","",IF(COUNTIF($B$5:$B10,$B10)=1,MAX($H$4:$H9)+1,""))</f>
        <v/>
      </c>
    </row>
    <row r="11">
      <c r="A11" s="7" t="inlineStr">
        <is>
          <t>2026-09-15</t>
        </is>
      </c>
      <c r="B11" s="7" t="inlineStr">
        <is>
          <t>보통예금</t>
        </is>
      </c>
      <c r="C11" s="7" t="inlineStr">
        <is>
          <t>대성포장</t>
        </is>
      </c>
      <c r="D11" s="7" t="inlineStr">
        <is>
          <t>원자재 대금 지급</t>
        </is>
      </c>
      <c r="E11" s="8" t="n"/>
      <c r="F11" s="8" t="n">
        <v>1034000</v>
      </c>
      <c r="G11" s="9">
        <f>IF($B11="","",$B11&amp;"#"&amp;COUNTIF($B$5:$B11,$B11))</f>
        <v/>
      </c>
      <c r="H11" s="9">
        <f>IF($B11="","",IF(COUNTIF($B$5:$B11,$B11)=1,MAX($H$4:$H10)+1,""))</f>
        <v/>
      </c>
    </row>
    <row r="12">
      <c r="A12" s="7" t="inlineStr">
        <is>
          <t>2026-09-01</t>
        </is>
      </c>
      <c r="B12" s="7" t="inlineStr">
        <is>
          <t>외상매출금</t>
        </is>
      </c>
      <c r="C12" s="7" t="inlineStr"/>
      <c r="D12" s="7" t="inlineStr">
        <is>
          <t>전기이월</t>
        </is>
      </c>
      <c r="E12" s="8" t="n">
        <v>13800000</v>
      </c>
      <c r="F12" s="8" t="n"/>
      <c r="G12" s="9">
        <f>IF($B12="","",$B12&amp;"#"&amp;COUNTIF($B$5:$B12,$B12))</f>
        <v/>
      </c>
      <c r="H12" s="9">
        <f>IF($B12="","",IF(COUNTIF($B$5:$B12,$B12)=1,MAX($H$4:$H11)+1,""))</f>
        <v/>
      </c>
    </row>
    <row r="13">
      <c r="A13" s="7" t="inlineStr">
        <is>
          <t>2026-09-08</t>
        </is>
      </c>
      <c r="B13" s="7" t="inlineStr">
        <is>
          <t>외상매출금</t>
        </is>
      </c>
      <c r="C13" s="7" t="inlineStr">
        <is>
          <t>미래식품</t>
        </is>
      </c>
      <c r="D13" s="7" t="inlineStr">
        <is>
          <t>9월 납품 매출</t>
        </is>
      </c>
      <c r="E13" s="8" t="n">
        <v>4220000</v>
      </c>
      <c r="F13" s="8" t="n"/>
      <c r="G13" s="9">
        <f>IF($B13="","",$B13&amp;"#"&amp;COUNTIF($B$5:$B13,$B13))</f>
        <v/>
      </c>
      <c r="H13" s="9">
        <f>IF($B13="","",IF(COUNTIF($B$5:$B13,$B13)=1,MAX($H$4:$H12)+1,""))</f>
        <v/>
      </c>
    </row>
    <row r="14">
      <c r="A14" s="7" t="inlineStr">
        <is>
          <t>2026-09-05</t>
        </is>
      </c>
      <c r="B14" s="7" t="inlineStr">
        <is>
          <t>외상매출금</t>
        </is>
      </c>
      <c r="C14" s="7" t="inlineStr">
        <is>
          <t>미래식품</t>
        </is>
      </c>
      <c r="D14" s="7" t="inlineStr">
        <is>
          <t>외상대 회수</t>
        </is>
      </c>
      <c r="E14" s="8" t="n"/>
      <c r="F14" s="8" t="n">
        <v>5720000</v>
      </c>
      <c r="G14" s="9">
        <f>IF($B14="","",$B14&amp;"#"&amp;COUNTIF($B$5:$B14,$B14))</f>
        <v/>
      </c>
      <c r="H14" s="9">
        <f>IF($B14="","",IF(COUNTIF($B$5:$B14,$B14)=1,MAX($H$4:$H13)+1,""))</f>
        <v/>
      </c>
    </row>
    <row r="15">
      <c r="A15" s="7" t="inlineStr">
        <is>
          <t>2026-09-01</t>
        </is>
      </c>
      <c r="B15" s="7" t="inlineStr">
        <is>
          <t>미수금</t>
        </is>
      </c>
      <c r="C15" s="7" t="inlineStr"/>
      <c r="D15" s="7" t="inlineStr">
        <is>
          <t>전기이월</t>
        </is>
      </c>
      <c r="E15" s="8" t="n">
        <v>900000</v>
      </c>
      <c r="F15" s="8" t="n"/>
      <c r="G15" s="9">
        <f>IF($B15="","",$B15&amp;"#"&amp;COUNTIF($B$5:$B15,$B15))</f>
        <v/>
      </c>
      <c r="H15" s="9">
        <f>IF($B15="","",IF(COUNTIF($B$5:$B15,$B15)=1,MAX($H$4:$H14)+1,""))</f>
        <v/>
      </c>
    </row>
    <row r="16">
      <c r="A16" s="7" t="inlineStr">
        <is>
          <t>2026-09-09</t>
        </is>
      </c>
      <c r="B16" s="7" t="inlineStr">
        <is>
          <t>미수금</t>
        </is>
      </c>
      <c r="C16" s="7" t="inlineStr">
        <is>
          <t>한빛기공</t>
        </is>
      </c>
      <c r="D16" s="7" t="inlineStr">
        <is>
          <t>비품 매각 대금</t>
        </is>
      </c>
      <c r="E16" s="8" t="n">
        <v>900000</v>
      </c>
      <c r="F16" s="8" t="n"/>
      <c r="G16" s="9">
        <f>IF($B16="","",$B16&amp;"#"&amp;COUNTIF($B$5:$B16,$B16))</f>
        <v/>
      </c>
      <c r="H16" s="9">
        <f>IF($B16="","",IF(COUNTIF($B$5:$B16,$B16)=1,MAX($H$4:$H15)+1,""))</f>
        <v/>
      </c>
    </row>
    <row r="17">
      <c r="A17" s="7" t="inlineStr">
        <is>
          <t>2026-09-01</t>
        </is>
      </c>
      <c r="B17" s="7" t="inlineStr">
        <is>
          <t>선급금</t>
        </is>
      </c>
      <c r="C17" s="7" t="inlineStr"/>
      <c r="D17" s="7" t="inlineStr">
        <is>
          <t>전기이월</t>
        </is>
      </c>
      <c r="E17" s="8" t="n">
        <v>1220000</v>
      </c>
      <c r="F17" s="8" t="n"/>
      <c r="G17" s="9">
        <f>IF($B17="","",$B17&amp;"#"&amp;COUNTIF($B$5:$B17,$B17))</f>
        <v/>
      </c>
      <c r="H17" s="9">
        <f>IF($B17="","",IF(COUNTIF($B$5:$B17,$B17)=1,MAX($H$4:$H16)+1,""))</f>
        <v/>
      </c>
    </row>
    <row r="18">
      <c r="A18" s="7" t="inlineStr">
        <is>
          <t>2026-09-03</t>
        </is>
      </c>
      <c r="B18" s="7" t="inlineStr">
        <is>
          <t>선급금</t>
        </is>
      </c>
      <c r="C18" s="7" t="inlineStr">
        <is>
          <t>대성포장</t>
        </is>
      </c>
      <c r="D18" s="7" t="inlineStr">
        <is>
          <t>선급금 정산 대체</t>
        </is>
      </c>
      <c r="E18" s="8" t="n"/>
      <c r="F18" s="8" t="n">
        <v>520000</v>
      </c>
      <c r="G18" s="9">
        <f>IF($B18="","",$B18&amp;"#"&amp;COUNTIF($B$5:$B18,$B18))</f>
        <v/>
      </c>
      <c r="H18" s="9">
        <f>IF($B18="","",IF(COUNTIF($B$5:$B18,$B18)=1,MAX($H$4:$H17)+1,""))</f>
        <v/>
      </c>
    </row>
    <row r="19">
      <c r="A19" s="7" t="inlineStr">
        <is>
          <t>2026-09-01</t>
        </is>
      </c>
      <c r="B19" s="7" t="inlineStr">
        <is>
          <t>재고자산</t>
        </is>
      </c>
      <c r="C19" s="7" t="inlineStr"/>
      <c r="D19" s="7" t="inlineStr">
        <is>
          <t>전기이월</t>
        </is>
      </c>
      <c r="E19" s="8" t="n">
        <v>21000000</v>
      </c>
      <c r="F19" s="8" t="n"/>
      <c r="G19" s="9">
        <f>IF($B19="","",$B19&amp;"#"&amp;COUNTIF($B$5:$B19,$B19))</f>
        <v/>
      </c>
      <c r="H19" s="9">
        <f>IF($B19="","",IF(COUNTIF($B$5:$B19,$B19)=1,MAX($H$4:$H18)+1,""))</f>
        <v/>
      </c>
    </row>
    <row r="20">
      <c r="A20" s="7" t="inlineStr">
        <is>
          <t>2026-09-30</t>
        </is>
      </c>
      <c r="B20" s="7" t="inlineStr">
        <is>
          <t>재고자산</t>
        </is>
      </c>
      <c r="C20" s="7" t="inlineStr"/>
      <c r="D20" s="7" t="inlineStr">
        <is>
          <t>월말 재고 증가</t>
        </is>
      </c>
      <c r="E20" s="8" t="n">
        <v>2400000</v>
      </c>
      <c r="F20" s="8" t="n"/>
      <c r="G20" s="9">
        <f>IF($B20="","",$B20&amp;"#"&amp;COUNTIF($B$5:$B20,$B20))</f>
        <v/>
      </c>
      <c r="H20" s="9">
        <f>IF($B20="","",IF(COUNTIF($B$5:$B20,$B20)=1,MAX($H$4:$H19)+1,""))</f>
        <v/>
      </c>
    </row>
    <row r="21">
      <c r="A21" s="7" t="inlineStr">
        <is>
          <t>2026-09-01</t>
        </is>
      </c>
      <c r="B21" s="7" t="inlineStr">
        <is>
          <t>외상매입금</t>
        </is>
      </c>
      <c r="C21" s="7" t="inlineStr"/>
      <c r="D21" s="7" t="inlineStr">
        <is>
          <t>전기이월</t>
        </is>
      </c>
      <c r="E21" s="8" t="n"/>
      <c r="F21" s="8" t="n">
        <v>10200000</v>
      </c>
      <c r="G21" s="9">
        <f>IF($B21="","",$B21&amp;"#"&amp;COUNTIF($B$5:$B21,$B21))</f>
        <v/>
      </c>
      <c r="H21" s="9">
        <f>IF($B21="","",IF(COUNTIF($B$5:$B21,$B21)=1,MAX($H$4:$H20)+1,""))</f>
        <v/>
      </c>
    </row>
    <row r="22">
      <c r="A22" s="7" t="inlineStr">
        <is>
          <t>2026-09-07</t>
        </is>
      </c>
      <c r="B22" s="7" t="inlineStr">
        <is>
          <t>외상매입금</t>
        </is>
      </c>
      <c r="C22" s="7" t="inlineStr">
        <is>
          <t>대성포장</t>
        </is>
      </c>
      <c r="D22" s="7" t="inlineStr">
        <is>
          <t>9월 원자재 매입</t>
        </is>
      </c>
      <c r="E22" s="8" t="n"/>
      <c r="F22" s="8" t="n">
        <v>1880000</v>
      </c>
      <c r="G22" s="9">
        <f>IF($B22="","",$B22&amp;"#"&amp;COUNTIF($B$5:$B22,$B22))</f>
        <v/>
      </c>
      <c r="H22" s="9">
        <f>IF($B22="","",IF(COUNTIF($B$5:$B22,$B22)=1,MAX($H$4:$H21)+1,""))</f>
        <v/>
      </c>
    </row>
    <row r="23">
      <c r="A23" s="7" t="inlineStr">
        <is>
          <t>2026-09-15</t>
        </is>
      </c>
      <c r="B23" s="7" t="inlineStr">
        <is>
          <t>외상매입금</t>
        </is>
      </c>
      <c r="C23" s="7" t="inlineStr">
        <is>
          <t>대성포장</t>
        </is>
      </c>
      <c r="D23" s="7" t="inlineStr">
        <is>
          <t>외상대 지급</t>
        </is>
      </c>
      <c r="E23" s="8" t="n">
        <v>3180000</v>
      </c>
      <c r="F23" s="8" t="n"/>
      <c r="G23" s="9">
        <f>IF($B23="","",$B23&amp;"#"&amp;COUNTIF($B$5:$B23,$B23))</f>
        <v/>
      </c>
      <c r="H23" s="9">
        <f>IF($B23="","",IF(COUNTIF($B$5:$B23,$B23)=1,MAX($H$4:$H22)+1,""))</f>
        <v/>
      </c>
    </row>
    <row r="24">
      <c r="A24" s="7" t="inlineStr">
        <is>
          <t>2026-09-01</t>
        </is>
      </c>
      <c r="B24" s="7" t="inlineStr">
        <is>
          <t>미지급금</t>
        </is>
      </c>
      <c r="C24" s="7" t="inlineStr"/>
      <c r="D24" s="7" t="inlineStr">
        <is>
          <t>전기이월</t>
        </is>
      </c>
      <c r="E24" s="8" t="n"/>
      <c r="F24" s="8" t="n">
        <v>3100000</v>
      </c>
      <c r="G24" s="9">
        <f>IF($B24="","",$B24&amp;"#"&amp;COUNTIF($B$5:$B24,$B24))</f>
        <v/>
      </c>
      <c r="H24" s="9">
        <f>IF($B24="","",IF(COUNTIF($B$5:$B24,$B24)=1,MAX($H$4:$H23)+1,""))</f>
        <v/>
      </c>
    </row>
    <row r="25">
      <c r="A25" s="7" t="inlineStr">
        <is>
          <t>2026-09-15</t>
        </is>
      </c>
      <c r="B25" s="7" t="inlineStr">
        <is>
          <t>미지급금</t>
        </is>
      </c>
      <c r="C25" s="7" t="inlineStr">
        <is>
          <t>국민카드</t>
        </is>
      </c>
      <c r="D25" s="7" t="inlineStr">
        <is>
          <t>8월 카드대금 지급</t>
        </is>
      </c>
      <c r="E25" s="8" t="n">
        <v>934000</v>
      </c>
      <c r="F25" s="8" t="n"/>
      <c r="G25" s="9">
        <f>IF($B25="","",$B25&amp;"#"&amp;COUNTIF($B$5:$B25,$B25))</f>
        <v/>
      </c>
      <c r="H25" s="9">
        <f>IF($B25="","",IF(COUNTIF($B$5:$B25,$B25)=1,MAX($H$4:$H24)+1,""))</f>
        <v/>
      </c>
    </row>
    <row r="26">
      <c r="A26" s="7" t="inlineStr">
        <is>
          <t>2026-09-16</t>
        </is>
      </c>
      <c r="B26" s="7" t="inlineStr">
        <is>
          <t>미지급금</t>
        </is>
      </c>
      <c r="C26" s="7" t="inlineStr">
        <is>
          <t>한빛빌딩</t>
        </is>
      </c>
      <c r="D26" s="7" t="inlineStr">
        <is>
          <t>9월 임차료 미지급</t>
        </is>
      </c>
      <c r="E26" s="8" t="n"/>
      <c r="F26" s="8" t="n">
        <v>234000</v>
      </c>
      <c r="G26" s="9">
        <f>IF($B26="","",$B26&amp;"#"&amp;COUNTIF($B$5:$B26,$B26))</f>
        <v/>
      </c>
      <c r="H26" s="9">
        <f>IF($B26="","",IF(COUNTIF($B$5:$B26,$B26)=1,MAX($H$4:$H25)+1,""))</f>
        <v/>
      </c>
    </row>
    <row r="27">
      <c r="A27" s="7" t="inlineStr">
        <is>
          <t>2026-09-01</t>
        </is>
      </c>
      <c r="B27" s="7" t="inlineStr">
        <is>
          <t>예수금</t>
        </is>
      </c>
      <c r="C27" s="7" t="inlineStr"/>
      <c r="D27" s="7" t="inlineStr">
        <is>
          <t>전기이월</t>
        </is>
      </c>
      <c r="E27" s="8" t="n"/>
      <c r="F27" s="8" t="n">
        <v>980000</v>
      </c>
      <c r="G27" s="9">
        <f>IF($B27="","",$B27&amp;"#"&amp;COUNTIF($B$5:$B27,$B27))</f>
        <v/>
      </c>
      <c r="H27" s="9">
        <f>IF($B27="","",IF(COUNTIF($B$5:$B27,$B27)=1,MAX($H$4:$H26)+1,""))</f>
        <v/>
      </c>
    </row>
    <row r="28">
      <c r="A28" s="7" t="inlineStr">
        <is>
          <t>2026-09-10</t>
        </is>
      </c>
      <c r="B28" s="7" t="inlineStr">
        <is>
          <t>예수금</t>
        </is>
      </c>
      <c r="C28" s="7" t="inlineStr">
        <is>
          <t>세무서</t>
        </is>
      </c>
      <c r="D28" s="7" t="inlineStr">
        <is>
          <t>8월분 원천세 납부</t>
        </is>
      </c>
      <c r="E28" s="8" t="n">
        <v>980000</v>
      </c>
      <c r="F28" s="8" t="n"/>
      <c r="G28" s="9">
        <f>IF($B28="","",$B28&amp;"#"&amp;COUNTIF($B$5:$B28,$B28))</f>
        <v/>
      </c>
      <c r="H28" s="9">
        <f>IF($B28="","",IF(COUNTIF($B$5:$B28,$B28)=1,MAX($H$4:$H27)+1,""))</f>
        <v/>
      </c>
    </row>
    <row r="29">
      <c r="A29" s="7" t="inlineStr">
        <is>
          <t>2026-09-25</t>
        </is>
      </c>
      <c r="B29" s="7" t="inlineStr">
        <is>
          <t>예수금</t>
        </is>
      </c>
      <c r="C29" s="7" t="inlineStr"/>
      <c r="D29" s="7" t="inlineStr">
        <is>
          <t>9월 급여 원천 예수</t>
        </is>
      </c>
      <c r="E29" s="8" t="n"/>
      <c r="F29" s="8" t="n">
        <v>1130000</v>
      </c>
      <c r="G29" s="9">
        <f>IF($B29="","",$B29&amp;"#"&amp;COUNTIF($B$5:$B29,$B29))</f>
        <v/>
      </c>
      <c r="H29" s="9">
        <f>IF($B29="","",IF(COUNTIF($B$5:$B29,$B29)=1,MAX($H$4:$H28)+1,""))</f>
        <v/>
      </c>
    </row>
    <row r="30">
      <c r="A30" s="7" t="inlineStr">
        <is>
          <t>2026-09-01</t>
        </is>
      </c>
      <c r="B30" s="7" t="inlineStr">
        <is>
          <t>부가세예수금</t>
        </is>
      </c>
      <c r="C30" s="7" t="inlineStr"/>
      <c r="D30" s="7" t="inlineStr">
        <is>
          <t>전기이월</t>
        </is>
      </c>
      <c r="E30" s="8" t="n"/>
      <c r="F30" s="8" t="n">
        <v>1850000</v>
      </c>
      <c r="G30" s="9">
        <f>IF($B30="","",$B30&amp;"#"&amp;COUNTIF($B$5:$B30,$B30))</f>
        <v/>
      </c>
      <c r="H30" s="9">
        <f>IF($B30="","",IF(COUNTIF($B$5:$B30,$B30)=1,MAX($H$4:$H29)+1,""))</f>
        <v/>
      </c>
    </row>
    <row r="31">
      <c r="A31" s="7" t="inlineStr">
        <is>
          <t>2026-09-30</t>
        </is>
      </c>
      <c r="B31" s="7" t="inlineStr">
        <is>
          <t>부가세예수금</t>
        </is>
      </c>
      <c r="C31" s="7" t="inlineStr"/>
      <c r="D31" s="7" t="inlineStr">
        <is>
          <t>9월 매출세액</t>
        </is>
      </c>
      <c r="E31" s="8" t="n"/>
      <c r="F31" s="8" t="n">
        <v>290000</v>
      </c>
      <c r="G31" s="9">
        <f>IF($B31="","",$B31&amp;"#"&amp;COUNTIF($B$5:$B31,$B31))</f>
        <v/>
      </c>
      <c r="H31" s="9">
        <f>IF($B31="","",IF(COUNTIF($B$5:$B31,$B31)=1,MAX($H$4:$H30)+1,""))</f>
        <v/>
      </c>
    </row>
    <row r="32">
      <c r="A32" s="7" t="inlineStr">
        <is>
          <t>2026-09-01</t>
        </is>
      </c>
      <c r="B32" s="7" t="inlineStr">
        <is>
          <t>선수금</t>
        </is>
      </c>
      <c r="C32" s="7" t="inlineStr"/>
      <c r="D32" s="7" t="inlineStr">
        <is>
          <t>전기이월</t>
        </is>
      </c>
      <c r="E32" s="8" t="n"/>
      <c r="F32" s="8" t="n">
        <v>2300000</v>
      </c>
      <c r="G32" s="9">
        <f>IF($B32="","",$B32&amp;"#"&amp;COUNTIF($B$5:$B32,$B32))</f>
        <v/>
      </c>
      <c r="H32" s="9">
        <f>IF($B32="","",IF(COUNTIF($B$5:$B32,$B32)=1,MAX($H$4:$H31)+1,""))</f>
        <v/>
      </c>
    </row>
    <row r="33">
      <c r="A33" s="7" t="inlineStr">
        <is>
          <t>2026-09-20</t>
        </is>
      </c>
      <c r="B33" s="7" t="inlineStr">
        <is>
          <t>선수금</t>
        </is>
      </c>
      <c r="C33" s="7" t="inlineStr">
        <is>
          <t>미래식품</t>
        </is>
      </c>
      <c r="D33" s="7" t="inlineStr">
        <is>
          <t>선수금 매출 대체</t>
        </is>
      </c>
      <c r="E33" s="8" t="n">
        <v>800000</v>
      </c>
      <c r="F33" s="8" t="n"/>
      <c r="G33" s="9">
        <f>IF($B33="","",$B33&amp;"#"&amp;COUNTIF($B$5:$B33,$B33))</f>
        <v/>
      </c>
      <c r="H33" s="9">
        <f>IF($B33="","",IF(COUNTIF($B$5:$B33,$B33)=1,MAX($H$4:$H32)+1,""))</f>
        <v/>
      </c>
    </row>
    <row r="34">
      <c r="A34" s="7" t="inlineStr">
        <is>
          <t>2026-09-01</t>
        </is>
      </c>
      <c r="B34" s="7" t="inlineStr">
        <is>
          <t>단기차입금</t>
        </is>
      </c>
      <c r="C34" s="7" t="inlineStr"/>
      <c r="D34" s="7" t="inlineStr">
        <is>
          <t>전기이월</t>
        </is>
      </c>
      <c r="E34" s="8" t="n"/>
      <c r="F34" s="8" t="n">
        <v>20000000</v>
      </c>
      <c r="G34" s="9">
        <f>IF($B34="","",$B34&amp;"#"&amp;COUNTIF($B$5:$B34,$B34))</f>
        <v/>
      </c>
      <c r="H34" s="9">
        <f>IF($B34="","",IF(COUNTIF($B$5:$B34,$B34)=1,MAX($H$4:$H33)+1,""))</f>
        <v/>
      </c>
    </row>
    <row r="35">
      <c r="A35" s="10" t="n"/>
      <c r="B35" s="10" t="n"/>
      <c r="C35" s="10" t="n"/>
      <c r="D35" s="10" t="n"/>
      <c r="E35" s="11" t="n"/>
      <c r="F35" s="11" t="n"/>
      <c r="G35" s="9">
        <f>IF($B35="","",$B35&amp;"#"&amp;COUNTIF($B$5:$B35,$B35))</f>
        <v/>
      </c>
      <c r="H35" s="9">
        <f>IF($B35="","",IF(COUNTIF($B$5:$B35,$B35)=1,MAX($H$4:$H34)+1,""))</f>
        <v/>
      </c>
    </row>
    <row r="36">
      <c r="A36" s="10" t="n"/>
      <c r="B36" s="10" t="n"/>
      <c r="C36" s="10" t="n"/>
      <c r="D36" s="10" t="n"/>
      <c r="E36" s="11" t="n"/>
      <c r="F36" s="11" t="n"/>
      <c r="G36" s="9">
        <f>IF($B36="","",$B36&amp;"#"&amp;COUNTIF($B$5:$B36,$B36))</f>
        <v/>
      </c>
      <c r="H36" s="9">
        <f>IF($B36="","",IF(COUNTIF($B$5:$B36,$B36)=1,MAX($H$4:$H35)+1,""))</f>
        <v/>
      </c>
    </row>
    <row r="37">
      <c r="A37" s="10" t="n"/>
      <c r="B37" s="10" t="n"/>
      <c r="C37" s="10" t="n"/>
      <c r="D37" s="10" t="n"/>
      <c r="E37" s="11" t="n"/>
      <c r="F37" s="11" t="n"/>
      <c r="G37" s="9">
        <f>IF($B37="","",$B37&amp;"#"&amp;COUNTIF($B$5:$B37,$B37))</f>
        <v/>
      </c>
      <c r="H37" s="9">
        <f>IF($B37="","",IF(COUNTIF($B$5:$B37,$B37)=1,MAX($H$4:$H36)+1,""))</f>
        <v/>
      </c>
    </row>
    <row r="38">
      <c r="A38" s="10" t="n"/>
      <c r="B38" s="10" t="n"/>
      <c r="C38" s="10" t="n"/>
      <c r="D38" s="10" t="n"/>
      <c r="E38" s="11" t="n"/>
      <c r="F38" s="11" t="n"/>
      <c r="G38" s="9">
        <f>IF($B38="","",$B38&amp;"#"&amp;COUNTIF($B$5:$B38,$B38))</f>
        <v/>
      </c>
      <c r="H38" s="9">
        <f>IF($B38="","",IF(COUNTIF($B$5:$B38,$B38)=1,MAX($H$4:$H37)+1,""))</f>
        <v/>
      </c>
    </row>
    <row r="39">
      <c r="A39" s="10" t="n"/>
      <c r="B39" s="10" t="n"/>
      <c r="C39" s="10" t="n"/>
      <c r="D39" s="10" t="n"/>
      <c r="E39" s="11" t="n"/>
      <c r="F39" s="11" t="n"/>
      <c r="G39" s="9">
        <f>IF($B39="","",$B39&amp;"#"&amp;COUNTIF($B$5:$B39,$B39))</f>
        <v/>
      </c>
      <c r="H39" s="9">
        <f>IF($B39="","",IF(COUNTIF($B$5:$B39,$B39)=1,MAX($H$4:$H38)+1,""))</f>
        <v/>
      </c>
    </row>
    <row r="40">
      <c r="A40" s="10" t="n"/>
      <c r="B40" s="10" t="n"/>
      <c r="C40" s="10" t="n"/>
      <c r="D40" s="10" t="n"/>
      <c r="E40" s="11" t="n"/>
      <c r="F40" s="11" t="n"/>
      <c r="G40" s="9">
        <f>IF($B40="","",$B40&amp;"#"&amp;COUNTIF($B$5:$B40,$B40))</f>
        <v/>
      </c>
      <c r="H40" s="9">
        <f>IF($B40="","",IF(COUNTIF($B$5:$B40,$B40)=1,MAX($H$4:$H39)+1,""))</f>
        <v/>
      </c>
    </row>
    <row r="41">
      <c r="A41" s="10" t="n"/>
      <c r="B41" s="10" t="n"/>
      <c r="C41" s="10" t="n"/>
      <c r="D41" s="10" t="n"/>
      <c r="E41" s="11" t="n"/>
      <c r="F41" s="11" t="n"/>
      <c r="G41" s="9">
        <f>IF($B41="","",$B41&amp;"#"&amp;COUNTIF($B$5:$B41,$B41))</f>
        <v/>
      </c>
      <c r="H41" s="9">
        <f>IF($B41="","",IF(COUNTIF($B$5:$B41,$B41)=1,MAX($H$4:$H40)+1,""))</f>
        <v/>
      </c>
    </row>
    <row r="42">
      <c r="A42" s="10" t="n"/>
      <c r="B42" s="10" t="n"/>
      <c r="C42" s="10" t="n"/>
      <c r="D42" s="10" t="n"/>
      <c r="E42" s="11" t="n"/>
      <c r="F42" s="11" t="n"/>
      <c r="G42" s="9">
        <f>IF($B42="","",$B42&amp;"#"&amp;COUNTIF($B$5:$B42,$B42))</f>
        <v/>
      </c>
      <c r="H42" s="9">
        <f>IF($B42="","",IF(COUNTIF($B$5:$B42,$B42)=1,MAX($H$4:$H41)+1,""))</f>
        <v/>
      </c>
    </row>
    <row r="43">
      <c r="A43" s="10" t="n"/>
      <c r="B43" s="10" t="n"/>
      <c r="C43" s="10" t="n"/>
      <c r="D43" s="10" t="n"/>
      <c r="E43" s="11" t="n"/>
      <c r="F43" s="11" t="n"/>
      <c r="G43" s="9">
        <f>IF($B43="","",$B43&amp;"#"&amp;COUNTIF($B$5:$B43,$B43))</f>
        <v/>
      </c>
      <c r="H43" s="9">
        <f>IF($B43="","",IF(COUNTIF($B$5:$B43,$B43)=1,MAX($H$4:$H42)+1,""))</f>
        <v/>
      </c>
    </row>
    <row r="44">
      <c r="A44" s="10" t="n"/>
      <c r="B44" s="10" t="n"/>
      <c r="C44" s="10" t="n"/>
      <c r="D44" s="10" t="n"/>
      <c r="E44" s="11" t="n"/>
      <c r="F44" s="11" t="n"/>
      <c r="G44" s="9">
        <f>IF($B44="","",$B44&amp;"#"&amp;COUNTIF($B$5:$B44,$B44))</f>
        <v/>
      </c>
      <c r="H44" s="9">
        <f>IF($B44="","",IF(COUNTIF($B$5:$B44,$B44)=1,MAX($H$4:$H43)+1,""))</f>
        <v/>
      </c>
    </row>
    <row r="45">
      <c r="A45" s="10" t="n"/>
      <c r="B45" s="10" t="n"/>
      <c r="C45" s="10" t="n"/>
      <c r="D45" s="10" t="n"/>
      <c r="E45" s="11" t="n"/>
      <c r="F45" s="11" t="n"/>
      <c r="G45" s="9">
        <f>IF($B45="","",$B45&amp;"#"&amp;COUNTIF($B$5:$B45,$B45))</f>
        <v/>
      </c>
      <c r="H45" s="9">
        <f>IF($B45="","",IF(COUNTIF($B$5:$B45,$B45)=1,MAX($H$4:$H44)+1,""))</f>
        <v/>
      </c>
    </row>
    <row r="46">
      <c r="A46" s="10" t="n"/>
      <c r="B46" s="10" t="n"/>
      <c r="C46" s="10" t="n"/>
      <c r="D46" s="10" t="n"/>
      <c r="E46" s="11" t="n"/>
      <c r="F46" s="11" t="n"/>
      <c r="G46" s="9">
        <f>IF($B46="","",$B46&amp;"#"&amp;COUNTIF($B$5:$B46,$B46))</f>
        <v/>
      </c>
      <c r="H46" s="9">
        <f>IF($B46="","",IF(COUNTIF($B$5:$B46,$B46)=1,MAX($H$4:$H45)+1,""))</f>
        <v/>
      </c>
    </row>
    <row r="47">
      <c r="A47" s="10" t="n"/>
      <c r="B47" s="10" t="n"/>
      <c r="C47" s="10" t="n"/>
      <c r="D47" s="10" t="n"/>
      <c r="E47" s="11" t="n"/>
      <c r="F47" s="11" t="n"/>
      <c r="G47" s="9">
        <f>IF($B47="","",$B47&amp;"#"&amp;COUNTIF($B$5:$B47,$B47))</f>
        <v/>
      </c>
      <c r="H47" s="9">
        <f>IF($B47="","",IF(COUNTIF($B$5:$B47,$B47)=1,MAX($H$4:$H46)+1,""))</f>
        <v/>
      </c>
    </row>
    <row r="48">
      <c r="A48" s="10" t="n"/>
      <c r="B48" s="10" t="n"/>
      <c r="C48" s="10" t="n"/>
      <c r="D48" s="10" t="n"/>
      <c r="E48" s="11" t="n"/>
      <c r="F48" s="11" t="n"/>
      <c r="G48" s="9">
        <f>IF($B48="","",$B48&amp;"#"&amp;COUNTIF($B$5:$B48,$B48))</f>
        <v/>
      </c>
      <c r="H48" s="9">
        <f>IF($B48="","",IF(COUNTIF($B$5:$B48,$B48)=1,MAX($H$4:$H47)+1,""))</f>
        <v/>
      </c>
    </row>
    <row r="49">
      <c r="A49" s="10" t="n"/>
      <c r="B49" s="10" t="n"/>
      <c r="C49" s="10" t="n"/>
      <c r="D49" s="10" t="n"/>
      <c r="E49" s="11" t="n"/>
      <c r="F49" s="11" t="n"/>
      <c r="G49" s="9">
        <f>IF($B49="","",$B49&amp;"#"&amp;COUNTIF($B$5:$B49,$B49))</f>
        <v/>
      </c>
      <c r="H49" s="9">
        <f>IF($B49="","",IF(COUNTIF($B$5:$B49,$B49)=1,MAX($H$4:$H48)+1,""))</f>
        <v/>
      </c>
    </row>
    <row r="50">
      <c r="A50" s="10" t="n"/>
      <c r="B50" s="10" t="n"/>
      <c r="C50" s="10" t="n"/>
      <c r="D50" s="10" t="n"/>
      <c r="E50" s="11" t="n"/>
      <c r="F50" s="11" t="n"/>
      <c r="G50" s="9">
        <f>IF($B50="","",$B50&amp;"#"&amp;COUNTIF($B$5:$B50,$B50))</f>
        <v/>
      </c>
      <c r="H50" s="9">
        <f>IF($B50="","",IF(COUNTIF($B$5:$B50,$B50)=1,MAX($H$4:$H49)+1,""))</f>
        <v/>
      </c>
    </row>
    <row r="51">
      <c r="A51" s="10" t="n"/>
      <c r="B51" s="10" t="n"/>
      <c r="C51" s="10" t="n"/>
      <c r="D51" s="10" t="n"/>
      <c r="E51" s="11" t="n"/>
      <c r="F51" s="11" t="n"/>
      <c r="G51" s="9">
        <f>IF($B51="","",$B51&amp;"#"&amp;COUNTIF($B$5:$B51,$B51))</f>
        <v/>
      </c>
      <c r="H51" s="9">
        <f>IF($B51="","",IF(COUNTIF($B$5:$B51,$B51)=1,MAX($H$4:$H50)+1,""))</f>
        <v/>
      </c>
    </row>
    <row r="52">
      <c r="A52" s="10" t="n"/>
      <c r="B52" s="10" t="n"/>
      <c r="C52" s="10" t="n"/>
      <c r="D52" s="10" t="n"/>
      <c r="E52" s="11" t="n"/>
      <c r="F52" s="11" t="n"/>
      <c r="G52" s="9">
        <f>IF($B52="","",$B52&amp;"#"&amp;COUNTIF($B$5:$B52,$B52))</f>
        <v/>
      </c>
      <c r="H52" s="9">
        <f>IF($B52="","",IF(COUNTIF($B$5:$B52,$B52)=1,MAX($H$4:$H51)+1,""))</f>
        <v/>
      </c>
    </row>
    <row r="53">
      <c r="A53" s="10" t="n"/>
      <c r="B53" s="10" t="n"/>
      <c r="C53" s="10" t="n"/>
      <c r="D53" s="10" t="n"/>
      <c r="E53" s="11" t="n"/>
      <c r="F53" s="11" t="n"/>
      <c r="G53" s="9">
        <f>IF($B53="","",$B53&amp;"#"&amp;COUNTIF($B$5:$B53,$B53))</f>
        <v/>
      </c>
      <c r="H53" s="9">
        <f>IF($B53="","",IF(COUNTIF($B$5:$B53,$B53)=1,MAX($H$4:$H52)+1,""))</f>
        <v/>
      </c>
    </row>
    <row r="54">
      <c r="A54" s="10" t="n"/>
      <c r="B54" s="10" t="n"/>
      <c r="C54" s="10" t="n"/>
      <c r="D54" s="10" t="n"/>
      <c r="E54" s="11" t="n"/>
      <c r="F54" s="11" t="n"/>
      <c r="G54" s="9">
        <f>IF($B54="","",$B54&amp;"#"&amp;COUNTIF($B$5:$B54,$B54))</f>
        <v/>
      </c>
      <c r="H54" s="9">
        <f>IF($B54="","",IF(COUNTIF($B$5:$B54,$B54)=1,MAX($H$4:$H53)+1,""))</f>
        <v/>
      </c>
    </row>
    <row r="55">
      <c r="A55" s="10" t="n"/>
      <c r="B55" s="10" t="n"/>
      <c r="C55" s="10" t="n"/>
      <c r="D55" s="10" t="n"/>
      <c r="E55" s="11" t="n"/>
      <c r="F55" s="11" t="n"/>
      <c r="G55" s="9">
        <f>IF($B55="","",$B55&amp;"#"&amp;COUNTIF($B$5:$B55,$B55))</f>
        <v/>
      </c>
      <c r="H55" s="9">
        <f>IF($B55="","",IF(COUNTIF($B$5:$B55,$B55)=1,MAX($H$4:$H54)+1,""))</f>
        <v/>
      </c>
    </row>
    <row r="56">
      <c r="A56" s="10" t="n"/>
      <c r="B56" s="10" t="n"/>
      <c r="C56" s="10" t="n"/>
      <c r="D56" s="10" t="n"/>
      <c r="E56" s="11" t="n"/>
      <c r="F56" s="11" t="n"/>
      <c r="G56" s="9">
        <f>IF($B56="","",$B56&amp;"#"&amp;COUNTIF($B$5:$B56,$B56))</f>
        <v/>
      </c>
      <c r="H56" s="9">
        <f>IF($B56="","",IF(COUNTIF($B$5:$B56,$B56)=1,MAX($H$4:$H55)+1,""))</f>
        <v/>
      </c>
    </row>
    <row r="57">
      <c r="A57" s="10" t="n"/>
      <c r="B57" s="10" t="n"/>
      <c r="C57" s="10" t="n"/>
      <c r="D57" s="10" t="n"/>
      <c r="E57" s="11" t="n"/>
      <c r="F57" s="11" t="n"/>
      <c r="G57" s="9">
        <f>IF($B57="","",$B57&amp;"#"&amp;COUNTIF($B$5:$B57,$B57))</f>
        <v/>
      </c>
      <c r="H57" s="9">
        <f>IF($B57="","",IF(COUNTIF($B$5:$B57,$B57)=1,MAX($H$4:$H56)+1,""))</f>
        <v/>
      </c>
    </row>
    <row r="58">
      <c r="A58" s="10" t="n"/>
      <c r="B58" s="10" t="n"/>
      <c r="C58" s="10" t="n"/>
      <c r="D58" s="10" t="n"/>
      <c r="E58" s="11" t="n"/>
      <c r="F58" s="11" t="n"/>
      <c r="G58" s="9">
        <f>IF($B58="","",$B58&amp;"#"&amp;COUNTIF($B$5:$B58,$B58))</f>
        <v/>
      </c>
      <c r="H58" s="9">
        <f>IF($B58="","",IF(COUNTIF($B$5:$B58,$B58)=1,MAX($H$4:$H57)+1,""))</f>
        <v/>
      </c>
    </row>
    <row r="59">
      <c r="A59" s="10" t="n"/>
      <c r="B59" s="10" t="n"/>
      <c r="C59" s="10" t="n"/>
      <c r="D59" s="10" t="n"/>
      <c r="E59" s="11" t="n"/>
      <c r="F59" s="11" t="n"/>
      <c r="G59" s="9">
        <f>IF($B59="","",$B59&amp;"#"&amp;COUNTIF($B$5:$B59,$B59))</f>
        <v/>
      </c>
      <c r="H59" s="9">
        <f>IF($B59="","",IF(COUNTIF($B$5:$B59,$B59)=1,MAX($H$4:$H58)+1,""))</f>
        <v/>
      </c>
    </row>
    <row r="60">
      <c r="A60" s="10" t="n"/>
      <c r="B60" s="10" t="n"/>
      <c r="C60" s="10" t="n"/>
      <c r="D60" s="10" t="n"/>
      <c r="E60" s="11" t="n"/>
      <c r="F60" s="11" t="n"/>
      <c r="G60" s="9">
        <f>IF($B60="","",$B60&amp;"#"&amp;COUNTIF($B$5:$B60,$B60))</f>
        <v/>
      </c>
      <c r="H60" s="9">
        <f>IF($B60="","",IF(COUNTIF($B$5:$B60,$B60)=1,MAX($H$4:$H59)+1,""))</f>
        <v/>
      </c>
    </row>
    <row r="61">
      <c r="A61" s="10" t="n"/>
      <c r="B61" s="10" t="n"/>
      <c r="C61" s="10" t="n"/>
      <c r="D61" s="10" t="n"/>
      <c r="E61" s="11" t="n"/>
      <c r="F61" s="11" t="n"/>
      <c r="G61" s="9">
        <f>IF($B61="","",$B61&amp;"#"&amp;COUNTIF($B$5:$B61,$B61))</f>
        <v/>
      </c>
      <c r="H61" s="9">
        <f>IF($B61="","",IF(COUNTIF($B$5:$B61,$B61)=1,MAX($H$4:$H60)+1,""))</f>
        <v/>
      </c>
    </row>
    <row r="62">
      <c r="A62" s="10" t="n"/>
      <c r="B62" s="10" t="n"/>
      <c r="C62" s="10" t="n"/>
      <c r="D62" s="10" t="n"/>
      <c r="E62" s="11" t="n"/>
      <c r="F62" s="11" t="n"/>
      <c r="G62" s="9">
        <f>IF($B62="","",$B62&amp;"#"&amp;COUNTIF($B$5:$B62,$B62))</f>
        <v/>
      </c>
      <c r="H62" s="9">
        <f>IF($B62="","",IF(COUNTIF($B$5:$B62,$B62)=1,MAX($H$4:$H61)+1,""))</f>
        <v/>
      </c>
    </row>
    <row r="63">
      <c r="A63" s="10" t="n"/>
      <c r="B63" s="10" t="n"/>
      <c r="C63" s="10" t="n"/>
      <c r="D63" s="10" t="n"/>
      <c r="E63" s="11" t="n"/>
      <c r="F63" s="11" t="n"/>
      <c r="G63" s="9">
        <f>IF($B63="","",$B63&amp;"#"&amp;COUNTIF($B$5:$B63,$B63))</f>
        <v/>
      </c>
      <c r="H63" s="9">
        <f>IF($B63="","",IF(COUNTIF($B$5:$B63,$B63)=1,MAX($H$4:$H62)+1,""))</f>
        <v/>
      </c>
    </row>
    <row r="64">
      <c r="A64" s="10" t="n"/>
      <c r="B64" s="10" t="n"/>
      <c r="C64" s="10" t="n"/>
      <c r="D64" s="10" t="n"/>
      <c r="E64" s="11" t="n"/>
      <c r="F64" s="11" t="n"/>
      <c r="G64" s="9">
        <f>IF($B64="","",$B64&amp;"#"&amp;COUNTIF($B$5:$B64,$B64))</f>
        <v/>
      </c>
      <c r="H64" s="9">
        <f>IF($B64="","",IF(COUNTIF($B$5:$B64,$B64)=1,MAX($H$4:$H63)+1,""))</f>
        <v/>
      </c>
    </row>
    <row r="65">
      <c r="A65" s="10" t="n"/>
      <c r="B65" s="10" t="n"/>
      <c r="C65" s="10" t="n"/>
      <c r="D65" s="10" t="n"/>
      <c r="E65" s="11" t="n"/>
      <c r="F65" s="11" t="n"/>
      <c r="G65" s="9">
        <f>IF($B65="","",$B65&amp;"#"&amp;COUNTIF($B$5:$B65,$B65))</f>
        <v/>
      </c>
      <c r="H65" s="9">
        <f>IF($B65="","",IF(COUNTIF($B$5:$B65,$B65)=1,MAX($H$4:$H64)+1,""))</f>
        <v/>
      </c>
    </row>
    <row r="66">
      <c r="A66" s="10" t="n"/>
      <c r="B66" s="10" t="n"/>
      <c r="C66" s="10" t="n"/>
      <c r="D66" s="10" t="n"/>
      <c r="E66" s="11" t="n"/>
      <c r="F66" s="11" t="n"/>
      <c r="G66" s="9">
        <f>IF($B66="","",$B66&amp;"#"&amp;COUNTIF($B$5:$B66,$B66))</f>
        <v/>
      </c>
      <c r="H66" s="9">
        <f>IF($B66="","",IF(COUNTIF($B$5:$B66,$B66)=1,MAX($H$4:$H65)+1,""))</f>
        <v/>
      </c>
    </row>
    <row r="67">
      <c r="A67" s="10" t="n"/>
      <c r="B67" s="10" t="n"/>
      <c r="C67" s="10" t="n"/>
      <c r="D67" s="10" t="n"/>
      <c r="E67" s="11" t="n"/>
      <c r="F67" s="11" t="n"/>
      <c r="G67" s="9">
        <f>IF($B67="","",$B67&amp;"#"&amp;COUNTIF($B$5:$B67,$B67))</f>
        <v/>
      </c>
      <c r="H67" s="9">
        <f>IF($B67="","",IF(COUNTIF($B$5:$B67,$B67)=1,MAX($H$4:$H66)+1,""))</f>
        <v/>
      </c>
    </row>
    <row r="68">
      <c r="A68" s="10" t="n"/>
      <c r="B68" s="10" t="n"/>
      <c r="C68" s="10" t="n"/>
      <c r="D68" s="10" t="n"/>
      <c r="E68" s="11" t="n"/>
      <c r="F68" s="11" t="n"/>
      <c r="G68" s="9">
        <f>IF($B68="","",$B68&amp;"#"&amp;COUNTIF($B$5:$B68,$B68))</f>
        <v/>
      </c>
      <c r="H68" s="9">
        <f>IF($B68="","",IF(COUNTIF($B$5:$B68,$B68)=1,MAX($H$4:$H67)+1,""))</f>
        <v/>
      </c>
    </row>
    <row r="69">
      <c r="A69" s="10" t="n"/>
      <c r="B69" s="10" t="n"/>
      <c r="C69" s="10" t="n"/>
      <c r="D69" s="10" t="n"/>
      <c r="E69" s="11" t="n"/>
      <c r="F69" s="11" t="n"/>
      <c r="G69" s="9">
        <f>IF($B69="","",$B69&amp;"#"&amp;COUNTIF($B$5:$B69,$B69))</f>
        <v/>
      </c>
      <c r="H69" s="9">
        <f>IF($B69="","",IF(COUNTIF($B$5:$B69,$B69)=1,MAX($H$4:$H68)+1,""))</f>
        <v/>
      </c>
    </row>
    <row r="70">
      <c r="A70" s="10" t="n"/>
      <c r="B70" s="10" t="n"/>
      <c r="C70" s="10" t="n"/>
      <c r="D70" s="10" t="n"/>
      <c r="E70" s="11" t="n"/>
      <c r="F70" s="11" t="n"/>
      <c r="G70" s="9">
        <f>IF($B70="","",$B70&amp;"#"&amp;COUNTIF($B$5:$B70,$B70))</f>
        <v/>
      </c>
      <c r="H70" s="9">
        <f>IF($B70="","",IF(COUNTIF($B$5:$B70,$B70)=1,MAX($H$4:$H69)+1,""))</f>
        <v/>
      </c>
    </row>
    <row r="71">
      <c r="A71" s="10" t="n"/>
      <c r="B71" s="10" t="n"/>
      <c r="C71" s="10" t="n"/>
      <c r="D71" s="10" t="n"/>
      <c r="E71" s="11" t="n"/>
      <c r="F71" s="11" t="n"/>
      <c r="G71" s="9">
        <f>IF($B71="","",$B71&amp;"#"&amp;COUNTIF($B$5:$B71,$B71))</f>
        <v/>
      </c>
      <c r="H71" s="9">
        <f>IF($B71="","",IF(COUNTIF($B$5:$B71,$B71)=1,MAX($H$4:$H70)+1,""))</f>
        <v/>
      </c>
    </row>
    <row r="72">
      <c r="A72" s="10" t="n"/>
      <c r="B72" s="10" t="n"/>
      <c r="C72" s="10" t="n"/>
      <c r="D72" s="10" t="n"/>
      <c r="E72" s="11" t="n"/>
      <c r="F72" s="11" t="n"/>
      <c r="G72" s="9">
        <f>IF($B72="","",$B72&amp;"#"&amp;COUNTIF($B$5:$B72,$B72))</f>
        <v/>
      </c>
      <c r="H72" s="9">
        <f>IF($B72="","",IF(COUNTIF($B$5:$B72,$B72)=1,MAX($H$4:$H71)+1,""))</f>
        <v/>
      </c>
    </row>
    <row r="73">
      <c r="A73" s="10" t="n"/>
      <c r="B73" s="10" t="n"/>
      <c r="C73" s="10" t="n"/>
      <c r="D73" s="10" t="n"/>
      <c r="E73" s="11" t="n"/>
      <c r="F73" s="11" t="n"/>
      <c r="G73" s="9">
        <f>IF($B73="","",$B73&amp;"#"&amp;COUNTIF($B$5:$B73,$B73))</f>
        <v/>
      </c>
      <c r="H73" s="9">
        <f>IF($B73="","",IF(COUNTIF($B$5:$B73,$B73)=1,MAX($H$4:$H72)+1,""))</f>
        <v/>
      </c>
    </row>
    <row r="74">
      <c r="A74" s="10" t="n"/>
      <c r="B74" s="10" t="n"/>
      <c r="C74" s="10" t="n"/>
      <c r="D74" s="10" t="n"/>
      <c r="E74" s="11" t="n"/>
      <c r="F74" s="11" t="n"/>
      <c r="G74" s="9">
        <f>IF($B74="","",$B74&amp;"#"&amp;COUNTIF($B$5:$B74,$B74))</f>
        <v/>
      </c>
      <c r="H74" s="9">
        <f>IF($B74="","",IF(COUNTIF($B$5:$B74,$B74)=1,MAX($H$4:$H73)+1,""))</f>
        <v/>
      </c>
    </row>
    <row r="75">
      <c r="A75" s="10" t="n"/>
      <c r="B75" s="10" t="n"/>
      <c r="C75" s="10" t="n"/>
      <c r="D75" s="10" t="n"/>
      <c r="E75" s="11" t="n"/>
      <c r="F75" s="11" t="n"/>
      <c r="G75" s="9">
        <f>IF($B75="","",$B75&amp;"#"&amp;COUNTIF($B$5:$B75,$B75))</f>
        <v/>
      </c>
      <c r="H75" s="9">
        <f>IF($B75="","",IF(COUNTIF($B$5:$B75,$B75)=1,MAX($H$4:$H74)+1,""))</f>
        <v/>
      </c>
    </row>
    <row r="76">
      <c r="A76" s="10" t="n"/>
      <c r="B76" s="10" t="n"/>
      <c r="C76" s="10" t="n"/>
      <c r="D76" s="10" t="n"/>
      <c r="E76" s="11" t="n"/>
      <c r="F76" s="11" t="n"/>
      <c r="G76" s="9">
        <f>IF($B76="","",$B76&amp;"#"&amp;COUNTIF($B$5:$B76,$B76))</f>
        <v/>
      </c>
      <c r="H76" s="9">
        <f>IF($B76="","",IF(COUNTIF($B$5:$B76,$B76)=1,MAX($H$4:$H75)+1,""))</f>
        <v/>
      </c>
    </row>
    <row r="77">
      <c r="A77" s="10" t="n"/>
      <c r="B77" s="10" t="n"/>
      <c r="C77" s="10" t="n"/>
      <c r="D77" s="10" t="n"/>
      <c r="E77" s="11" t="n"/>
      <c r="F77" s="11" t="n"/>
      <c r="G77" s="9">
        <f>IF($B77="","",$B77&amp;"#"&amp;COUNTIF($B$5:$B77,$B77))</f>
        <v/>
      </c>
      <c r="H77" s="9">
        <f>IF($B77="","",IF(COUNTIF($B$5:$B77,$B77)=1,MAX($H$4:$H76)+1,""))</f>
        <v/>
      </c>
    </row>
    <row r="78">
      <c r="A78" s="10" t="n"/>
      <c r="B78" s="10" t="n"/>
      <c r="C78" s="10" t="n"/>
      <c r="D78" s="10" t="n"/>
      <c r="E78" s="11" t="n"/>
      <c r="F78" s="11" t="n"/>
      <c r="G78" s="9">
        <f>IF($B78="","",$B78&amp;"#"&amp;COUNTIF($B$5:$B78,$B78))</f>
        <v/>
      </c>
      <c r="H78" s="9">
        <f>IF($B78="","",IF(COUNTIF($B$5:$B78,$B78)=1,MAX($H$4:$H77)+1,""))</f>
        <v/>
      </c>
    </row>
    <row r="79">
      <c r="A79" s="10" t="n"/>
      <c r="B79" s="10" t="n"/>
      <c r="C79" s="10" t="n"/>
      <c r="D79" s="10" t="n"/>
      <c r="E79" s="11" t="n"/>
      <c r="F79" s="11" t="n"/>
      <c r="G79" s="9">
        <f>IF($B79="","",$B79&amp;"#"&amp;COUNTIF($B$5:$B79,$B79))</f>
        <v/>
      </c>
      <c r="H79" s="9">
        <f>IF($B79="","",IF(COUNTIF($B$5:$B79,$B79)=1,MAX($H$4:$H78)+1,""))</f>
        <v/>
      </c>
    </row>
    <row r="80">
      <c r="A80" s="10" t="n"/>
      <c r="B80" s="10" t="n"/>
      <c r="C80" s="10" t="n"/>
      <c r="D80" s="10" t="n"/>
      <c r="E80" s="11" t="n"/>
      <c r="F80" s="11" t="n"/>
      <c r="G80" s="9">
        <f>IF($B80="","",$B80&amp;"#"&amp;COUNTIF($B$5:$B80,$B80))</f>
        <v/>
      </c>
      <c r="H80" s="9">
        <f>IF($B80="","",IF(COUNTIF($B$5:$B80,$B80)=1,MAX($H$4:$H79)+1,""))</f>
        <v/>
      </c>
    </row>
    <row r="81">
      <c r="A81" s="10" t="n"/>
      <c r="B81" s="10" t="n"/>
      <c r="C81" s="10" t="n"/>
      <c r="D81" s="10" t="n"/>
      <c r="E81" s="11" t="n"/>
      <c r="F81" s="11" t="n"/>
      <c r="G81" s="9">
        <f>IF($B81="","",$B81&amp;"#"&amp;COUNTIF($B$5:$B81,$B81))</f>
        <v/>
      </c>
      <c r="H81" s="9">
        <f>IF($B81="","",IF(COUNTIF($B$5:$B81,$B81)=1,MAX($H$4:$H80)+1,""))</f>
        <v/>
      </c>
    </row>
    <row r="82">
      <c r="A82" s="10" t="n"/>
      <c r="B82" s="10" t="n"/>
      <c r="C82" s="10" t="n"/>
      <c r="D82" s="10" t="n"/>
      <c r="E82" s="11" t="n"/>
      <c r="F82" s="11" t="n"/>
      <c r="G82" s="9">
        <f>IF($B82="","",$B82&amp;"#"&amp;COUNTIF($B$5:$B82,$B82))</f>
        <v/>
      </c>
      <c r="H82" s="9">
        <f>IF($B82="","",IF(COUNTIF($B$5:$B82,$B82)=1,MAX($H$4:$H81)+1,""))</f>
        <v/>
      </c>
    </row>
    <row r="83">
      <c r="A83" s="10" t="n"/>
      <c r="B83" s="10" t="n"/>
      <c r="C83" s="10" t="n"/>
      <c r="D83" s="10" t="n"/>
      <c r="E83" s="11" t="n"/>
      <c r="F83" s="11" t="n"/>
      <c r="G83" s="9">
        <f>IF($B83="","",$B83&amp;"#"&amp;COUNTIF($B$5:$B83,$B83))</f>
        <v/>
      </c>
      <c r="H83" s="9">
        <f>IF($B83="","",IF(COUNTIF($B$5:$B83,$B83)=1,MAX($H$4:$H82)+1,""))</f>
        <v/>
      </c>
    </row>
    <row r="84">
      <c r="A84" s="10" t="n"/>
      <c r="B84" s="10" t="n"/>
      <c r="C84" s="10" t="n"/>
      <c r="D84" s="10" t="n"/>
      <c r="E84" s="11" t="n"/>
      <c r="F84" s="11" t="n"/>
      <c r="G84" s="9">
        <f>IF($B84="","",$B84&amp;"#"&amp;COUNTIF($B$5:$B84,$B84))</f>
        <v/>
      </c>
      <c r="H84" s="9">
        <f>IF($B84="","",IF(COUNTIF($B$5:$B84,$B84)=1,MAX($H$4:$H83)+1,""))</f>
        <v/>
      </c>
    </row>
    <row r="85">
      <c r="A85" s="10" t="n"/>
      <c r="B85" s="10" t="n"/>
      <c r="C85" s="10" t="n"/>
      <c r="D85" s="10" t="n"/>
      <c r="E85" s="11" t="n"/>
      <c r="F85" s="11" t="n"/>
      <c r="G85" s="9">
        <f>IF($B85="","",$B85&amp;"#"&amp;COUNTIF($B$5:$B85,$B85))</f>
        <v/>
      </c>
      <c r="H85" s="9">
        <f>IF($B85="","",IF(COUNTIF($B$5:$B85,$B85)=1,MAX($H$4:$H84)+1,""))</f>
        <v/>
      </c>
    </row>
    <row r="86">
      <c r="A86" s="10" t="n"/>
      <c r="B86" s="10" t="n"/>
      <c r="C86" s="10" t="n"/>
      <c r="D86" s="10" t="n"/>
      <c r="E86" s="11" t="n"/>
      <c r="F86" s="11" t="n"/>
      <c r="G86" s="9">
        <f>IF($B86="","",$B86&amp;"#"&amp;COUNTIF($B$5:$B86,$B86))</f>
        <v/>
      </c>
      <c r="H86" s="9">
        <f>IF($B86="","",IF(COUNTIF($B$5:$B86,$B86)=1,MAX($H$4:$H85)+1,""))</f>
        <v/>
      </c>
    </row>
    <row r="87">
      <c r="A87" s="10" t="n"/>
      <c r="B87" s="10" t="n"/>
      <c r="C87" s="10" t="n"/>
      <c r="D87" s="10" t="n"/>
      <c r="E87" s="11" t="n"/>
      <c r="F87" s="11" t="n"/>
      <c r="G87" s="9">
        <f>IF($B87="","",$B87&amp;"#"&amp;COUNTIF($B$5:$B87,$B87))</f>
        <v/>
      </c>
      <c r="H87" s="9">
        <f>IF($B87="","",IF(COUNTIF($B$5:$B87,$B87)=1,MAX($H$4:$H86)+1,""))</f>
        <v/>
      </c>
    </row>
    <row r="88">
      <c r="A88" s="10" t="n"/>
      <c r="B88" s="10" t="n"/>
      <c r="C88" s="10" t="n"/>
      <c r="D88" s="10" t="n"/>
      <c r="E88" s="11" t="n"/>
      <c r="F88" s="11" t="n"/>
      <c r="G88" s="9">
        <f>IF($B88="","",$B88&amp;"#"&amp;COUNTIF($B$5:$B88,$B88))</f>
        <v/>
      </c>
      <c r="H88" s="9">
        <f>IF($B88="","",IF(COUNTIF($B$5:$B88,$B88)=1,MAX($H$4:$H87)+1,""))</f>
        <v/>
      </c>
    </row>
    <row r="89">
      <c r="A89" s="10" t="n"/>
      <c r="B89" s="10" t="n"/>
      <c r="C89" s="10" t="n"/>
      <c r="D89" s="10" t="n"/>
      <c r="E89" s="11" t="n"/>
      <c r="F89" s="11" t="n"/>
      <c r="G89" s="9">
        <f>IF($B89="","",$B89&amp;"#"&amp;COUNTIF($B$5:$B89,$B89))</f>
        <v/>
      </c>
      <c r="H89" s="9">
        <f>IF($B89="","",IF(COUNTIF($B$5:$B89,$B89)=1,MAX($H$4:$H88)+1,""))</f>
        <v/>
      </c>
    </row>
    <row r="90">
      <c r="A90" s="10" t="n"/>
      <c r="B90" s="10" t="n"/>
      <c r="C90" s="10" t="n"/>
      <c r="D90" s="10" t="n"/>
      <c r="E90" s="11" t="n"/>
      <c r="F90" s="11" t="n"/>
      <c r="G90" s="9">
        <f>IF($B90="","",$B90&amp;"#"&amp;COUNTIF($B$5:$B90,$B90))</f>
        <v/>
      </c>
      <c r="H90" s="9">
        <f>IF($B90="","",IF(COUNTIF($B$5:$B90,$B90)=1,MAX($H$4:$H89)+1,""))</f>
        <v/>
      </c>
    </row>
    <row r="91">
      <c r="A91" s="10" t="n"/>
      <c r="B91" s="10" t="n"/>
      <c r="C91" s="10" t="n"/>
      <c r="D91" s="10" t="n"/>
      <c r="E91" s="11" t="n"/>
      <c r="F91" s="11" t="n"/>
      <c r="G91" s="9">
        <f>IF($B91="","",$B91&amp;"#"&amp;COUNTIF($B$5:$B91,$B91))</f>
        <v/>
      </c>
      <c r="H91" s="9">
        <f>IF($B91="","",IF(COUNTIF($B$5:$B91,$B91)=1,MAX($H$4:$H90)+1,""))</f>
        <v/>
      </c>
    </row>
    <row r="92">
      <c r="A92" s="10" t="n"/>
      <c r="B92" s="10" t="n"/>
      <c r="C92" s="10" t="n"/>
      <c r="D92" s="10" t="n"/>
      <c r="E92" s="11" t="n"/>
      <c r="F92" s="11" t="n"/>
      <c r="G92" s="9">
        <f>IF($B92="","",$B92&amp;"#"&amp;COUNTIF($B$5:$B92,$B92))</f>
        <v/>
      </c>
      <c r="H92" s="9">
        <f>IF($B92="","",IF(COUNTIF($B$5:$B92,$B92)=1,MAX($H$4:$H91)+1,""))</f>
        <v/>
      </c>
    </row>
    <row r="93">
      <c r="A93" s="10" t="n"/>
      <c r="B93" s="10" t="n"/>
      <c r="C93" s="10" t="n"/>
      <c r="D93" s="10" t="n"/>
      <c r="E93" s="11" t="n"/>
      <c r="F93" s="11" t="n"/>
      <c r="G93" s="9">
        <f>IF($B93="","",$B93&amp;"#"&amp;COUNTIF($B$5:$B93,$B93))</f>
        <v/>
      </c>
      <c r="H93" s="9">
        <f>IF($B93="","",IF(COUNTIF($B$5:$B93,$B93)=1,MAX($H$4:$H92)+1,""))</f>
        <v/>
      </c>
    </row>
    <row r="94">
      <c r="A94" s="10" t="n"/>
      <c r="B94" s="10" t="n"/>
      <c r="C94" s="10" t="n"/>
      <c r="D94" s="10" t="n"/>
      <c r="E94" s="11" t="n"/>
      <c r="F94" s="11" t="n"/>
      <c r="G94" s="9">
        <f>IF($B94="","",$B94&amp;"#"&amp;COUNTIF($B$5:$B94,$B94))</f>
        <v/>
      </c>
      <c r="H94" s="9">
        <f>IF($B94="","",IF(COUNTIF($B$5:$B94,$B94)=1,MAX($H$4:$H93)+1,""))</f>
        <v/>
      </c>
    </row>
    <row r="95">
      <c r="A95" s="10" t="n"/>
      <c r="B95" s="10" t="n"/>
      <c r="C95" s="10" t="n"/>
      <c r="D95" s="10" t="n"/>
      <c r="E95" s="11" t="n"/>
      <c r="F95" s="11" t="n"/>
      <c r="G95" s="9">
        <f>IF($B95="","",$B95&amp;"#"&amp;COUNTIF($B$5:$B95,$B95))</f>
        <v/>
      </c>
      <c r="H95" s="9">
        <f>IF($B95="","",IF(COUNTIF($B$5:$B95,$B95)=1,MAX($H$4:$H94)+1,""))</f>
        <v/>
      </c>
    </row>
    <row r="96">
      <c r="A96" s="10" t="n"/>
      <c r="B96" s="10" t="n"/>
      <c r="C96" s="10" t="n"/>
      <c r="D96" s="10" t="n"/>
      <c r="E96" s="11" t="n"/>
      <c r="F96" s="11" t="n"/>
      <c r="G96" s="9">
        <f>IF($B96="","",$B96&amp;"#"&amp;COUNTIF($B$5:$B96,$B96))</f>
        <v/>
      </c>
      <c r="H96" s="9">
        <f>IF($B96="","",IF(COUNTIF($B$5:$B96,$B96)=1,MAX($H$4:$H95)+1,""))</f>
        <v/>
      </c>
    </row>
    <row r="97">
      <c r="A97" s="10" t="n"/>
      <c r="B97" s="10" t="n"/>
      <c r="C97" s="10" t="n"/>
      <c r="D97" s="10" t="n"/>
      <c r="E97" s="11" t="n"/>
      <c r="F97" s="11" t="n"/>
      <c r="G97" s="9">
        <f>IF($B97="","",$B97&amp;"#"&amp;COUNTIF($B$5:$B97,$B97))</f>
        <v/>
      </c>
      <c r="H97" s="9">
        <f>IF($B97="","",IF(COUNTIF($B$5:$B97,$B97)=1,MAX($H$4:$H96)+1,""))</f>
        <v/>
      </c>
    </row>
    <row r="98">
      <c r="A98" s="10" t="n"/>
      <c r="B98" s="10" t="n"/>
      <c r="C98" s="10" t="n"/>
      <c r="D98" s="10" t="n"/>
      <c r="E98" s="11" t="n"/>
      <c r="F98" s="11" t="n"/>
      <c r="G98" s="9">
        <f>IF($B98="","",$B98&amp;"#"&amp;COUNTIF($B$5:$B98,$B98))</f>
        <v/>
      </c>
      <c r="H98" s="9">
        <f>IF($B98="","",IF(COUNTIF($B$5:$B98,$B98)=1,MAX($H$4:$H97)+1,""))</f>
        <v/>
      </c>
    </row>
    <row r="99">
      <c r="A99" s="10" t="n"/>
      <c r="B99" s="10" t="n"/>
      <c r="C99" s="10" t="n"/>
      <c r="D99" s="10" t="n"/>
      <c r="E99" s="11" t="n"/>
      <c r="F99" s="11" t="n"/>
      <c r="G99" s="9">
        <f>IF($B99="","",$B99&amp;"#"&amp;COUNTIF($B$5:$B99,$B99))</f>
        <v/>
      </c>
      <c r="H99" s="9">
        <f>IF($B99="","",IF(COUNTIF($B$5:$B99,$B99)=1,MAX($H$4:$H98)+1,""))</f>
        <v/>
      </c>
    </row>
    <row r="100">
      <c r="A100" s="10" t="n"/>
      <c r="B100" s="10" t="n"/>
      <c r="C100" s="10" t="n"/>
      <c r="D100" s="10" t="n"/>
      <c r="E100" s="11" t="n"/>
      <c r="F100" s="11" t="n"/>
      <c r="G100" s="9">
        <f>IF($B100="","",$B100&amp;"#"&amp;COUNTIF($B$5:$B100,$B100))</f>
        <v/>
      </c>
      <c r="H100" s="9">
        <f>IF($B100="","",IF(COUNTIF($B$5:$B100,$B100)=1,MAX($H$4:$H99)+1,""))</f>
        <v/>
      </c>
    </row>
    <row r="101">
      <c r="A101" s="10" t="n"/>
      <c r="B101" s="10" t="n"/>
      <c r="C101" s="10" t="n"/>
      <c r="D101" s="10" t="n"/>
      <c r="E101" s="11" t="n"/>
      <c r="F101" s="11" t="n"/>
      <c r="G101" s="9">
        <f>IF($B101="","",$B101&amp;"#"&amp;COUNTIF($B$5:$B101,$B101))</f>
        <v/>
      </c>
      <c r="H101" s="9">
        <f>IF($B101="","",IF(COUNTIF($B$5:$B101,$B101)=1,MAX($H$4:$H100)+1,""))</f>
        <v/>
      </c>
    </row>
    <row r="102">
      <c r="A102" s="10" t="n"/>
      <c r="B102" s="10" t="n"/>
      <c r="C102" s="10" t="n"/>
      <c r="D102" s="10" t="n"/>
      <c r="E102" s="11" t="n"/>
      <c r="F102" s="11" t="n"/>
      <c r="G102" s="9">
        <f>IF($B102="","",$B102&amp;"#"&amp;COUNTIF($B$5:$B102,$B102))</f>
        <v/>
      </c>
      <c r="H102" s="9">
        <f>IF($B102="","",IF(COUNTIF($B$5:$B102,$B102)=1,MAX($H$4:$H101)+1,""))</f>
        <v/>
      </c>
    </row>
    <row r="103">
      <c r="A103" s="10" t="n"/>
      <c r="B103" s="10" t="n"/>
      <c r="C103" s="10" t="n"/>
      <c r="D103" s="10" t="n"/>
      <c r="E103" s="11" t="n"/>
      <c r="F103" s="11" t="n"/>
      <c r="G103" s="9">
        <f>IF($B103="","",$B103&amp;"#"&amp;COUNTIF($B$5:$B103,$B103))</f>
        <v/>
      </c>
      <c r="H103" s="9">
        <f>IF($B103="","",IF(COUNTIF($B$5:$B103,$B103)=1,MAX($H$4:$H102)+1,""))</f>
        <v/>
      </c>
    </row>
    <row r="104">
      <c r="A104" s="10" t="n"/>
      <c r="B104" s="10" t="n"/>
      <c r="C104" s="10" t="n"/>
      <c r="D104" s="10" t="n"/>
      <c r="E104" s="11" t="n"/>
      <c r="F104" s="11" t="n"/>
      <c r="G104" s="9">
        <f>IF($B104="","",$B104&amp;"#"&amp;COUNTIF($B$5:$B104,$B104))</f>
        <v/>
      </c>
      <c r="H104" s="9">
        <f>IF($B104="","",IF(COUNTIF($B$5:$B104,$B104)=1,MAX($H$4:$H103)+1,""))</f>
        <v/>
      </c>
    </row>
    <row r="105">
      <c r="A105" s="10" t="n"/>
      <c r="B105" s="10" t="n"/>
      <c r="C105" s="10" t="n"/>
      <c r="D105" s="10" t="n"/>
      <c r="E105" s="11" t="n"/>
      <c r="F105" s="11" t="n"/>
      <c r="G105" s="9">
        <f>IF($B105="","",$B105&amp;"#"&amp;COUNTIF($B$5:$B105,$B105))</f>
        <v/>
      </c>
      <c r="H105" s="9">
        <f>IF($B105="","",IF(COUNTIF($B$5:$B105,$B105)=1,MAX($H$4:$H104)+1,""))</f>
        <v/>
      </c>
    </row>
    <row r="106">
      <c r="A106" s="10" t="n"/>
      <c r="B106" s="10" t="n"/>
      <c r="C106" s="10" t="n"/>
      <c r="D106" s="10" t="n"/>
      <c r="E106" s="11" t="n"/>
      <c r="F106" s="11" t="n"/>
      <c r="G106" s="9">
        <f>IF($B106="","",$B106&amp;"#"&amp;COUNTIF($B$5:$B106,$B106))</f>
        <v/>
      </c>
      <c r="H106" s="9">
        <f>IF($B106="","",IF(COUNTIF($B$5:$B106,$B106)=1,MAX($H$4:$H105)+1,""))</f>
        <v/>
      </c>
    </row>
    <row r="107">
      <c r="A107" s="10" t="n"/>
      <c r="B107" s="10" t="n"/>
      <c r="C107" s="10" t="n"/>
      <c r="D107" s="10" t="n"/>
      <c r="E107" s="11" t="n"/>
      <c r="F107" s="11" t="n"/>
      <c r="G107" s="9">
        <f>IF($B107="","",$B107&amp;"#"&amp;COUNTIF($B$5:$B107,$B107))</f>
        <v/>
      </c>
      <c r="H107" s="9">
        <f>IF($B107="","",IF(COUNTIF($B$5:$B107,$B107)=1,MAX($H$4:$H106)+1,""))</f>
        <v/>
      </c>
    </row>
    <row r="108">
      <c r="A108" s="10" t="n"/>
      <c r="B108" s="10" t="n"/>
      <c r="C108" s="10" t="n"/>
      <c r="D108" s="10" t="n"/>
      <c r="E108" s="11" t="n"/>
      <c r="F108" s="11" t="n"/>
      <c r="G108" s="9">
        <f>IF($B108="","",$B108&amp;"#"&amp;COUNTIF($B$5:$B108,$B108))</f>
        <v/>
      </c>
      <c r="H108" s="9">
        <f>IF($B108="","",IF(COUNTIF($B$5:$B108,$B108)=1,MAX($H$4:$H107)+1,""))</f>
        <v/>
      </c>
    </row>
    <row r="109">
      <c r="A109" s="10" t="n"/>
      <c r="B109" s="10" t="n"/>
      <c r="C109" s="10" t="n"/>
      <c r="D109" s="10" t="n"/>
      <c r="E109" s="11" t="n"/>
      <c r="F109" s="11" t="n"/>
      <c r="G109" s="9">
        <f>IF($B109="","",$B109&amp;"#"&amp;COUNTIF($B$5:$B109,$B109))</f>
        <v/>
      </c>
      <c r="H109" s="9">
        <f>IF($B109="","",IF(COUNTIF($B$5:$B109,$B109)=1,MAX($H$4:$H108)+1,""))</f>
        <v/>
      </c>
    </row>
    <row r="110">
      <c r="A110" s="10" t="n"/>
      <c r="B110" s="10" t="n"/>
      <c r="C110" s="10" t="n"/>
      <c r="D110" s="10" t="n"/>
      <c r="E110" s="11" t="n"/>
      <c r="F110" s="11" t="n"/>
      <c r="G110" s="9">
        <f>IF($B110="","",$B110&amp;"#"&amp;COUNTIF($B$5:$B110,$B110))</f>
        <v/>
      </c>
      <c r="H110" s="9">
        <f>IF($B110="","",IF(COUNTIF($B$5:$B110,$B110)=1,MAX($H$4:$H109)+1,""))</f>
        <v/>
      </c>
    </row>
    <row r="111">
      <c r="A111" s="10" t="n"/>
      <c r="B111" s="10" t="n"/>
      <c r="C111" s="10" t="n"/>
      <c r="D111" s="10" t="n"/>
      <c r="E111" s="11" t="n"/>
      <c r="F111" s="11" t="n"/>
      <c r="G111" s="9">
        <f>IF($B111="","",$B111&amp;"#"&amp;COUNTIF($B$5:$B111,$B111))</f>
        <v/>
      </c>
      <c r="H111" s="9">
        <f>IF($B111="","",IF(COUNTIF($B$5:$B111,$B111)=1,MAX($H$4:$H110)+1,""))</f>
        <v/>
      </c>
    </row>
    <row r="112">
      <c r="A112" s="10" t="n"/>
      <c r="B112" s="10" t="n"/>
      <c r="C112" s="10" t="n"/>
      <c r="D112" s="10" t="n"/>
      <c r="E112" s="11" t="n"/>
      <c r="F112" s="11" t="n"/>
      <c r="G112" s="9">
        <f>IF($B112="","",$B112&amp;"#"&amp;COUNTIF($B$5:$B112,$B112))</f>
        <v/>
      </c>
      <c r="H112" s="9">
        <f>IF($B112="","",IF(COUNTIF($B$5:$B112,$B112)=1,MAX($H$4:$H111)+1,""))</f>
        <v/>
      </c>
    </row>
    <row r="113">
      <c r="A113" s="10" t="n"/>
      <c r="B113" s="10" t="n"/>
      <c r="C113" s="10" t="n"/>
      <c r="D113" s="10" t="n"/>
      <c r="E113" s="11" t="n"/>
      <c r="F113" s="11" t="n"/>
      <c r="G113" s="9">
        <f>IF($B113="","",$B113&amp;"#"&amp;COUNTIF($B$5:$B113,$B113))</f>
        <v/>
      </c>
      <c r="H113" s="9">
        <f>IF($B113="","",IF(COUNTIF($B$5:$B113,$B113)=1,MAX($H$4:$H112)+1,""))</f>
        <v/>
      </c>
    </row>
    <row r="114">
      <c r="A114" s="10" t="n"/>
      <c r="B114" s="10" t="n"/>
      <c r="C114" s="10" t="n"/>
      <c r="D114" s="10" t="n"/>
      <c r="E114" s="11" t="n"/>
      <c r="F114" s="11" t="n"/>
      <c r="G114" s="9">
        <f>IF($B114="","",$B114&amp;"#"&amp;COUNTIF($B$5:$B114,$B114))</f>
        <v/>
      </c>
      <c r="H114" s="9">
        <f>IF($B114="","",IF(COUNTIF($B$5:$B114,$B114)=1,MAX($H$4:$H113)+1,""))</f>
        <v/>
      </c>
    </row>
    <row r="115">
      <c r="A115" s="10" t="n"/>
      <c r="B115" s="10" t="n"/>
      <c r="C115" s="10" t="n"/>
      <c r="D115" s="10" t="n"/>
      <c r="E115" s="11" t="n"/>
      <c r="F115" s="11" t="n"/>
      <c r="G115" s="9">
        <f>IF($B115="","",$B115&amp;"#"&amp;COUNTIF($B$5:$B115,$B115))</f>
        <v/>
      </c>
      <c r="H115" s="9">
        <f>IF($B115="","",IF(COUNTIF($B$5:$B115,$B115)=1,MAX($H$4:$H114)+1,""))</f>
        <v/>
      </c>
    </row>
    <row r="116">
      <c r="A116" s="10" t="n"/>
      <c r="B116" s="10" t="n"/>
      <c r="C116" s="10" t="n"/>
      <c r="D116" s="10" t="n"/>
      <c r="E116" s="11" t="n"/>
      <c r="F116" s="11" t="n"/>
      <c r="G116" s="9">
        <f>IF($B116="","",$B116&amp;"#"&amp;COUNTIF($B$5:$B116,$B116))</f>
        <v/>
      </c>
      <c r="H116" s="9">
        <f>IF($B116="","",IF(COUNTIF($B$5:$B116,$B116)=1,MAX($H$4:$H115)+1,""))</f>
        <v/>
      </c>
    </row>
    <row r="117">
      <c r="A117" s="10" t="n"/>
      <c r="B117" s="10" t="n"/>
      <c r="C117" s="10" t="n"/>
      <c r="D117" s="10" t="n"/>
      <c r="E117" s="11" t="n"/>
      <c r="F117" s="11" t="n"/>
      <c r="G117" s="9">
        <f>IF($B117="","",$B117&amp;"#"&amp;COUNTIF($B$5:$B117,$B117))</f>
        <v/>
      </c>
      <c r="H117" s="9">
        <f>IF($B117="","",IF(COUNTIF($B$5:$B117,$B117)=1,MAX($H$4:$H116)+1,""))</f>
        <v/>
      </c>
    </row>
    <row r="118">
      <c r="A118" s="10" t="n"/>
      <c r="B118" s="10" t="n"/>
      <c r="C118" s="10" t="n"/>
      <c r="D118" s="10" t="n"/>
      <c r="E118" s="11" t="n"/>
      <c r="F118" s="11" t="n"/>
      <c r="G118" s="9">
        <f>IF($B118="","",$B118&amp;"#"&amp;COUNTIF($B$5:$B118,$B118))</f>
        <v/>
      </c>
      <c r="H118" s="9">
        <f>IF($B118="","",IF(COUNTIF($B$5:$B118,$B118)=1,MAX($H$4:$H117)+1,""))</f>
        <v/>
      </c>
    </row>
    <row r="119">
      <c r="A119" s="10" t="n"/>
      <c r="B119" s="10" t="n"/>
      <c r="C119" s="10" t="n"/>
      <c r="D119" s="10" t="n"/>
      <c r="E119" s="11" t="n"/>
      <c r="F119" s="11" t="n"/>
      <c r="G119" s="9">
        <f>IF($B119="","",$B119&amp;"#"&amp;COUNTIF($B$5:$B119,$B119))</f>
        <v/>
      </c>
      <c r="H119" s="9">
        <f>IF($B119="","",IF(COUNTIF($B$5:$B119,$B119)=1,MAX($H$4:$H118)+1,""))</f>
        <v/>
      </c>
    </row>
    <row r="120">
      <c r="A120" s="10" t="n"/>
      <c r="B120" s="10" t="n"/>
      <c r="C120" s="10" t="n"/>
      <c r="D120" s="10" t="n"/>
      <c r="E120" s="11" t="n"/>
      <c r="F120" s="11" t="n"/>
      <c r="G120" s="9">
        <f>IF($B120="","",$B120&amp;"#"&amp;COUNTIF($B$5:$B120,$B120))</f>
        <v/>
      </c>
      <c r="H120" s="9">
        <f>IF($B120="","",IF(COUNTIF($B$5:$B120,$B120)=1,MAX($H$4:$H119)+1,""))</f>
        <v/>
      </c>
    </row>
    <row r="121">
      <c r="A121" s="10" t="n"/>
      <c r="B121" s="10" t="n"/>
      <c r="C121" s="10" t="n"/>
      <c r="D121" s="10" t="n"/>
      <c r="E121" s="11" t="n"/>
      <c r="F121" s="11" t="n"/>
      <c r="G121" s="9">
        <f>IF($B121="","",$B121&amp;"#"&amp;COUNTIF($B$5:$B121,$B121))</f>
        <v/>
      </c>
      <c r="H121" s="9">
        <f>IF($B121="","",IF(COUNTIF($B$5:$B121,$B121)=1,MAX($H$4:$H120)+1,""))</f>
        <v/>
      </c>
    </row>
    <row r="122">
      <c r="A122" s="10" t="n"/>
      <c r="B122" s="10" t="n"/>
      <c r="C122" s="10" t="n"/>
      <c r="D122" s="10" t="n"/>
      <c r="E122" s="11" t="n"/>
      <c r="F122" s="11" t="n"/>
      <c r="G122" s="9">
        <f>IF($B122="","",$B122&amp;"#"&amp;COUNTIF($B$5:$B122,$B122))</f>
        <v/>
      </c>
      <c r="H122" s="9">
        <f>IF($B122="","",IF(COUNTIF($B$5:$B122,$B122)=1,MAX($H$4:$H121)+1,""))</f>
        <v/>
      </c>
    </row>
    <row r="123">
      <c r="A123" s="10" t="n"/>
      <c r="B123" s="10" t="n"/>
      <c r="C123" s="10" t="n"/>
      <c r="D123" s="10" t="n"/>
      <c r="E123" s="11" t="n"/>
      <c r="F123" s="11" t="n"/>
      <c r="G123" s="9">
        <f>IF($B123="","",$B123&amp;"#"&amp;COUNTIF($B$5:$B123,$B123))</f>
        <v/>
      </c>
      <c r="H123" s="9">
        <f>IF($B123="","",IF(COUNTIF($B$5:$B123,$B123)=1,MAX($H$4:$H122)+1,""))</f>
        <v/>
      </c>
    </row>
    <row r="124">
      <c r="A124" s="10" t="n"/>
      <c r="B124" s="10" t="n"/>
      <c r="C124" s="10" t="n"/>
      <c r="D124" s="10" t="n"/>
      <c r="E124" s="11" t="n"/>
      <c r="F124" s="11" t="n"/>
      <c r="G124" s="9">
        <f>IF($B124="","",$B124&amp;"#"&amp;COUNTIF($B$5:$B124,$B124))</f>
        <v/>
      </c>
      <c r="H124" s="9">
        <f>IF($B124="","",IF(COUNTIF($B$5:$B124,$B124)=1,MAX($H$4:$H123)+1,""))</f>
        <v/>
      </c>
    </row>
    <row r="125">
      <c r="A125" s="10" t="n"/>
      <c r="B125" s="10" t="n"/>
      <c r="C125" s="10" t="n"/>
      <c r="D125" s="10" t="n"/>
      <c r="E125" s="11" t="n"/>
      <c r="F125" s="11" t="n"/>
      <c r="G125" s="9">
        <f>IF($B125="","",$B125&amp;"#"&amp;COUNTIF($B$5:$B125,$B125))</f>
        <v/>
      </c>
      <c r="H125" s="9">
        <f>IF($B125="","",IF(COUNTIF($B$5:$B125,$B125)=1,MAX($H$4:$H124)+1,""))</f>
        <v/>
      </c>
    </row>
    <row r="126">
      <c r="A126" s="10" t="n"/>
      <c r="B126" s="10" t="n"/>
      <c r="C126" s="10" t="n"/>
      <c r="D126" s="10" t="n"/>
      <c r="E126" s="11" t="n"/>
      <c r="F126" s="11" t="n"/>
      <c r="G126" s="9">
        <f>IF($B126="","",$B126&amp;"#"&amp;COUNTIF($B$5:$B126,$B126))</f>
        <v/>
      </c>
      <c r="H126" s="9">
        <f>IF($B126="","",IF(COUNTIF($B$5:$B126,$B126)=1,MAX($H$4:$H125)+1,""))</f>
        <v/>
      </c>
    </row>
    <row r="127">
      <c r="A127" s="10" t="n"/>
      <c r="B127" s="10" t="n"/>
      <c r="C127" s="10" t="n"/>
      <c r="D127" s="10" t="n"/>
      <c r="E127" s="11" t="n"/>
      <c r="F127" s="11" t="n"/>
      <c r="G127" s="9">
        <f>IF($B127="","",$B127&amp;"#"&amp;COUNTIF($B$5:$B127,$B127))</f>
        <v/>
      </c>
      <c r="H127" s="9">
        <f>IF($B127="","",IF(COUNTIF($B$5:$B127,$B127)=1,MAX($H$4:$H126)+1,""))</f>
        <v/>
      </c>
    </row>
    <row r="128">
      <c r="A128" s="10" t="n"/>
      <c r="B128" s="10" t="n"/>
      <c r="C128" s="10" t="n"/>
      <c r="D128" s="10" t="n"/>
      <c r="E128" s="11" t="n"/>
      <c r="F128" s="11" t="n"/>
      <c r="G128" s="9">
        <f>IF($B128="","",$B128&amp;"#"&amp;COUNTIF($B$5:$B128,$B128))</f>
        <v/>
      </c>
      <c r="H128" s="9">
        <f>IF($B128="","",IF(COUNTIF($B$5:$B128,$B128)=1,MAX($H$4:$H127)+1,""))</f>
        <v/>
      </c>
    </row>
    <row r="129">
      <c r="A129" s="10" t="n"/>
      <c r="B129" s="10" t="n"/>
      <c r="C129" s="10" t="n"/>
      <c r="D129" s="10" t="n"/>
      <c r="E129" s="11" t="n"/>
      <c r="F129" s="11" t="n"/>
      <c r="G129" s="9">
        <f>IF($B129="","",$B129&amp;"#"&amp;COUNTIF($B$5:$B129,$B129))</f>
        <v/>
      </c>
      <c r="H129" s="9">
        <f>IF($B129="","",IF(COUNTIF($B$5:$B129,$B129)=1,MAX($H$4:$H128)+1,""))</f>
        <v/>
      </c>
    </row>
    <row r="130">
      <c r="A130" s="10" t="n"/>
      <c r="B130" s="10" t="n"/>
      <c r="C130" s="10" t="n"/>
      <c r="D130" s="10" t="n"/>
      <c r="E130" s="11" t="n"/>
      <c r="F130" s="11" t="n"/>
      <c r="G130" s="9">
        <f>IF($B130="","",$B130&amp;"#"&amp;COUNTIF($B$5:$B130,$B130))</f>
        <v/>
      </c>
      <c r="H130" s="9">
        <f>IF($B130="","",IF(COUNTIF($B$5:$B130,$B130)=1,MAX($H$4:$H129)+1,""))</f>
        <v/>
      </c>
    </row>
    <row r="131">
      <c r="A131" s="10" t="n"/>
      <c r="B131" s="10" t="n"/>
      <c r="C131" s="10" t="n"/>
      <c r="D131" s="10" t="n"/>
      <c r="E131" s="11" t="n"/>
      <c r="F131" s="11" t="n"/>
      <c r="G131" s="9">
        <f>IF($B131="","",$B131&amp;"#"&amp;COUNTIF($B$5:$B131,$B131))</f>
        <v/>
      </c>
      <c r="H131" s="9">
        <f>IF($B131="","",IF(COUNTIF($B$5:$B131,$B131)=1,MAX($H$4:$H130)+1,""))</f>
        <v/>
      </c>
    </row>
    <row r="132">
      <c r="A132" s="10" t="n"/>
      <c r="B132" s="10" t="n"/>
      <c r="C132" s="10" t="n"/>
      <c r="D132" s="10" t="n"/>
      <c r="E132" s="11" t="n"/>
      <c r="F132" s="11" t="n"/>
      <c r="G132" s="9">
        <f>IF($B132="","",$B132&amp;"#"&amp;COUNTIF($B$5:$B132,$B132))</f>
        <v/>
      </c>
      <c r="H132" s="9">
        <f>IF($B132="","",IF(COUNTIF($B$5:$B132,$B132)=1,MAX($H$4:$H131)+1,""))</f>
        <v/>
      </c>
    </row>
    <row r="133">
      <c r="A133" s="10" t="n"/>
      <c r="B133" s="10" t="n"/>
      <c r="C133" s="10" t="n"/>
      <c r="D133" s="10" t="n"/>
      <c r="E133" s="11" t="n"/>
      <c r="F133" s="11" t="n"/>
      <c r="G133" s="9">
        <f>IF($B133="","",$B133&amp;"#"&amp;COUNTIF($B$5:$B133,$B133))</f>
        <v/>
      </c>
      <c r="H133" s="9">
        <f>IF($B133="","",IF(COUNTIF($B$5:$B133,$B133)=1,MAX($H$4:$H132)+1,""))</f>
        <v/>
      </c>
    </row>
    <row r="134">
      <c r="A134" s="10" t="n"/>
      <c r="B134" s="10" t="n"/>
      <c r="C134" s="10" t="n"/>
      <c r="D134" s="10" t="n"/>
      <c r="E134" s="11" t="n"/>
      <c r="F134" s="11" t="n"/>
      <c r="G134" s="9">
        <f>IF($B134="","",$B134&amp;"#"&amp;COUNTIF($B$5:$B134,$B134))</f>
        <v/>
      </c>
      <c r="H134" s="9">
        <f>IF($B134="","",IF(COUNTIF($B$5:$B134,$B134)=1,MAX($H$4:$H133)+1,""))</f>
        <v/>
      </c>
    </row>
    <row r="135">
      <c r="A135" s="10" t="n"/>
      <c r="B135" s="10" t="n"/>
      <c r="C135" s="10" t="n"/>
      <c r="D135" s="10" t="n"/>
      <c r="E135" s="11" t="n"/>
      <c r="F135" s="11" t="n"/>
      <c r="G135" s="9">
        <f>IF($B135="","",$B135&amp;"#"&amp;COUNTIF($B$5:$B135,$B135))</f>
        <v/>
      </c>
      <c r="H135" s="9">
        <f>IF($B135="","",IF(COUNTIF($B$5:$B135,$B135)=1,MAX($H$4:$H134)+1,""))</f>
        <v/>
      </c>
    </row>
    <row r="136">
      <c r="A136" s="10" t="n"/>
      <c r="B136" s="10" t="n"/>
      <c r="C136" s="10" t="n"/>
      <c r="D136" s="10" t="n"/>
      <c r="E136" s="11" t="n"/>
      <c r="F136" s="11" t="n"/>
      <c r="G136" s="9">
        <f>IF($B136="","",$B136&amp;"#"&amp;COUNTIF($B$5:$B136,$B136))</f>
        <v/>
      </c>
      <c r="H136" s="9">
        <f>IF($B136="","",IF(COUNTIF($B$5:$B136,$B136)=1,MAX($H$4:$H135)+1,""))</f>
        <v/>
      </c>
    </row>
    <row r="137">
      <c r="A137" s="10" t="n"/>
      <c r="B137" s="10" t="n"/>
      <c r="C137" s="10" t="n"/>
      <c r="D137" s="10" t="n"/>
      <c r="E137" s="11" t="n"/>
      <c r="F137" s="11" t="n"/>
      <c r="G137" s="9">
        <f>IF($B137="","",$B137&amp;"#"&amp;COUNTIF($B$5:$B137,$B137))</f>
        <v/>
      </c>
      <c r="H137" s="9">
        <f>IF($B137="","",IF(COUNTIF($B$5:$B137,$B137)=1,MAX($H$4:$H136)+1,""))</f>
        <v/>
      </c>
    </row>
    <row r="138">
      <c r="A138" s="10" t="n"/>
      <c r="B138" s="10" t="n"/>
      <c r="C138" s="10" t="n"/>
      <c r="D138" s="10" t="n"/>
      <c r="E138" s="11" t="n"/>
      <c r="F138" s="11" t="n"/>
      <c r="G138" s="9">
        <f>IF($B138="","",$B138&amp;"#"&amp;COUNTIF($B$5:$B138,$B138))</f>
        <v/>
      </c>
      <c r="H138" s="9">
        <f>IF($B138="","",IF(COUNTIF($B$5:$B138,$B138)=1,MAX($H$4:$H137)+1,""))</f>
        <v/>
      </c>
    </row>
    <row r="139">
      <c r="A139" s="10" t="n"/>
      <c r="B139" s="10" t="n"/>
      <c r="C139" s="10" t="n"/>
      <c r="D139" s="10" t="n"/>
      <c r="E139" s="11" t="n"/>
      <c r="F139" s="11" t="n"/>
      <c r="G139" s="9">
        <f>IF($B139="","",$B139&amp;"#"&amp;COUNTIF($B$5:$B139,$B139))</f>
        <v/>
      </c>
      <c r="H139" s="9">
        <f>IF($B139="","",IF(COUNTIF($B$5:$B139,$B139)=1,MAX($H$4:$H138)+1,""))</f>
        <v/>
      </c>
    </row>
    <row r="140">
      <c r="A140" s="10" t="n"/>
      <c r="B140" s="10" t="n"/>
      <c r="C140" s="10" t="n"/>
      <c r="D140" s="10" t="n"/>
      <c r="E140" s="11" t="n"/>
      <c r="F140" s="11" t="n"/>
      <c r="G140" s="9">
        <f>IF($B140="","",$B140&amp;"#"&amp;COUNTIF($B$5:$B140,$B140))</f>
        <v/>
      </c>
      <c r="H140" s="9">
        <f>IF($B140="","",IF(COUNTIF($B$5:$B140,$B140)=1,MAX($H$4:$H139)+1,""))</f>
        <v/>
      </c>
    </row>
    <row r="141">
      <c r="A141" s="10" t="n"/>
      <c r="B141" s="10" t="n"/>
      <c r="C141" s="10" t="n"/>
      <c r="D141" s="10" t="n"/>
      <c r="E141" s="11" t="n"/>
      <c r="F141" s="11" t="n"/>
      <c r="G141" s="9">
        <f>IF($B141="","",$B141&amp;"#"&amp;COUNTIF($B$5:$B141,$B141))</f>
        <v/>
      </c>
      <c r="H141" s="9">
        <f>IF($B141="","",IF(COUNTIF($B$5:$B141,$B141)=1,MAX($H$4:$H140)+1,""))</f>
        <v/>
      </c>
    </row>
    <row r="142">
      <c r="A142" s="10" t="n"/>
      <c r="B142" s="10" t="n"/>
      <c r="C142" s="10" t="n"/>
      <c r="D142" s="10" t="n"/>
      <c r="E142" s="11" t="n"/>
      <c r="F142" s="11" t="n"/>
      <c r="G142" s="9">
        <f>IF($B142="","",$B142&amp;"#"&amp;COUNTIF($B$5:$B142,$B142))</f>
        <v/>
      </c>
      <c r="H142" s="9">
        <f>IF($B142="","",IF(COUNTIF($B$5:$B142,$B142)=1,MAX($H$4:$H141)+1,""))</f>
        <v/>
      </c>
    </row>
    <row r="143">
      <c r="A143" s="10" t="n"/>
      <c r="B143" s="10" t="n"/>
      <c r="C143" s="10" t="n"/>
      <c r="D143" s="10" t="n"/>
      <c r="E143" s="11" t="n"/>
      <c r="F143" s="11" t="n"/>
      <c r="G143" s="9">
        <f>IF($B143="","",$B143&amp;"#"&amp;COUNTIF($B$5:$B143,$B143))</f>
        <v/>
      </c>
      <c r="H143" s="9">
        <f>IF($B143="","",IF(COUNTIF($B$5:$B143,$B143)=1,MAX($H$4:$H142)+1,""))</f>
        <v/>
      </c>
    </row>
    <row r="144">
      <c r="A144" s="10" t="n"/>
      <c r="B144" s="10" t="n"/>
      <c r="C144" s="10" t="n"/>
      <c r="D144" s="10" t="n"/>
      <c r="E144" s="11" t="n"/>
      <c r="F144" s="11" t="n"/>
      <c r="G144" s="9">
        <f>IF($B144="","",$B144&amp;"#"&amp;COUNTIF($B$5:$B144,$B144))</f>
        <v/>
      </c>
      <c r="H144" s="9">
        <f>IF($B144="","",IF(COUNTIF($B$5:$B144,$B144)=1,MAX($H$4:$H143)+1,""))</f>
        <v/>
      </c>
    </row>
    <row r="145">
      <c r="A145" s="10" t="n"/>
      <c r="B145" s="10" t="n"/>
      <c r="C145" s="10" t="n"/>
      <c r="D145" s="10" t="n"/>
      <c r="E145" s="11" t="n"/>
      <c r="F145" s="11" t="n"/>
      <c r="G145" s="9">
        <f>IF($B145="","",$B145&amp;"#"&amp;COUNTIF($B$5:$B145,$B145))</f>
        <v/>
      </c>
      <c r="H145" s="9">
        <f>IF($B145="","",IF(COUNTIF($B$5:$B145,$B145)=1,MAX($H$4:$H144)+1,""))</f>
        <v/>
      </c>
    </row>
    <row r="146">
      <c r="A146" s="10" t="n"/>
      <c r="B146" s="10" t="n"/>
      <c r="C146" s="10" t="n"/>
      <c r="D146" s="10" t="n"/>
      <c r="E146" s="11" t="n"/>
      <c r="F146" s="11" t="n"/>
      <c r="G146" s="9">
        <f>IF($B146="","",$B146&amp;"#"&amp;COUNTIF($B$5:$B146,$B146))</f>
        <v/>
      </c>
      <c r="H146" s="9">
        <f>IF($B146="","",IF(COUNTIF($B$5:$B146,$B146)=1,MAX($H$4:$H145)+1,""))</f>
        <v/>
      </c>
    </row>
    <row r="147">
      <c r="A147" s="10" t="n"/>
      <c r="B147" s="10" t="n"/>
      <c r="C147" s="10" t="n"/>
      <c r="D147" s="10" t="n"/>
      <c r="E147" s="11" t="n"/>
      <c r="F147" s="11" t="n"/>
      <c r="G147" s="9">
        <f>IF($B147="","",$B147&amp;"#"&amp;COUNTIF($B$5:$B147,$B147))</f>
        <v/>
      </c>
      <c r="H147" s="9">
        <f>IF($B147="","",IF(COUNTIF($B$5:$B147,$B147)=1,MAX($H$4:$H146)+1,""))</f>
        <v/>
      </c>
    </row>
    <row r="148">
      <c r="A148" s="10" t="n"/>
      <c r="B148" s="10" t="n"/>
      <c r="C148" s="10" t="n"/>
      <c r="D148" s="10" t="n"/>
      <c r="E148" s="11" t="n"/>
      <c r="F148" s="11" t="n"/>
      <c r="G148" s="9">
        <f>IF($B148="","",$B148&amp;"#"&amp;COUNTIF($B$5:$B148,$B148))</f>
        <v/>
      </c>
      <c r="H148" s="9">
        <f>IF($B148="","",IF(COUNTIF($B$5:$B148,$B148)=1,MAX($H$4:$H147)+1,""))</f>
        <v/>
      </c>
    </row>
    <row r="149">
      <c r="A149" s="10" t="n"/>
      <c r="B149" s="10" t="n"/>
      <c r="C149" s="10" t="n"/>
      <c r="D149" s="10" t="n"/>
      <c r="E149" s="11" t="n"/>
      <c r="F149" s="11" t="n"/>
      <c r="G149" s="9">
        <f>IF($B149="","",$B149&amp;"#"&amp;COUNTIF($B$5:$B149,$B149))</f>
        <v/>
      </c>
      <c r="H149" s="9">
        <f>IF($B149="","",IF(COUNTIF($B$5:$B149,$B149)=1,MAX($H$4:$H148)+1,""))</f>
        <v/>
      </c>
    </row>
    <row r="150">
      <c r="A150" s="10" t="n"/>
      <c r="B150" s="10" t="n"/>
      <c r="C150" s="10" t="n"/>
      <c r="D150" s="10" t="n"/>
      <c r="E150" s="11" t="n"/>
      <c r="F150" s="11" t="n"/>
      <c r="G150" s="9">
        <f>IF($B150="","",$B150&amp;"#"&amp;COUNTIF($B$5:$B150,$B150))</f>
        <v/>
      </c>
      <c r="H150" s="9">
        <f>IF($B150="","",IF(COUNTIF($B$5:$B150,$B150)=1,MAX($H$4:$H149)+1,""))</f>
        <v/>
      </c>
    </row>
    <row r="151">
      <c r="A151" s="10" t="n"/>
      <c r="B151" s="10" t="n"/>
      <c r="C151" s="10" t="n"/>
      <c r="D151" s="10" t="n"/>
      <c r="E151" s="11" t="n"/>
      <c r="F151" s="11" t="n"/>
      <c r="G151" s="9">
        <f>IF($B151="","",$B151&amp;"#"&amp;COUNTIF($B$5:$B151,$B151))</f>
        <v/>
      </c>
      <c r="H151" s="9">
        <f>IF($B151="","",IF(COUNTIF($B$5:$B151,$B151)=1,MAX($H$4:$H150)+1,""))</f>
        <v/>
      </c>
    </row>
    <row r="152">
      <c r="A152" s="10" t="n"/>
      <c r="B152" s="10" t="n"/>
      <c r="C152" s="10" t="n"/>
      <c r="D152" s="10" t="n"/>
      <c r="E152" s="11" t="n"/>
      <c r="F152" s="11" t="n"/>
      <c r="G152" s="9">
        <f>IF($B152="","",$B152&amp;"#"&amp;COUNTIF($B$5:$B152,$B152))</f>
        <v/>
      </c>
      <c r="H152" s="9">
        <f>IF($B152="","",IF(COUNTIF($B$5:$B152,$B152)=1,MAX($H$4:$H151)+1,""))</f>
        <v/>
      </c>
    </row>
    <row r="153">
      <c r="A153" s="10" t="n"/>
      <c r="B153" s="10" t="n"/>
      <c r="C153" s="10" t="n"/>
      <c r="D153" s="10" t="n"/>
      <c r="E153" s="11" t="n"/>
      <c r="F153" s="11" t="n"/>
      <c r="G153" s="9">
        <f>IF($B153="","",$B153&amp;"#"&amp;COUNTIF($B$5:$B153,$B153))</f>
        <v/>
      </c>
      <c r="H153" s="9">
        <f>IF($B153="","",IF(COUNTIF($B$5:$B153,$B153)=1,MAX($H$4:$H152)+1,""))</f>
        <v/>
      </c>
    </row>
    <row r="154">
      <c r="A154" s="10" t="n"/>
      <c r="B154" s="10" t="n"/>
      <c r="C154" s="10" t="n"/>
      <c r="D154" s="10" t="n"/>
      <c r="E154" s="11" t="n"/>
      <c r="F154" s="11" t="n"/>
      <c r="G154" s="9">
        <f>IF($B154="","",$B154&amp;"#"&amp;COUNTIF($B$5:$B154,$B154))</f>
        <v/>
      </c>
      <c r="H154" s="9">
        <f>IF($B154="","",IF(COUNTIF($B$5:$B154,$B154)=1,MAX($H$4:$H153)+1,""))</f>
        <v/>
      </c>
    </row>
    <row r="155">
      <c r="A155" s="10" t="n"/>
      <c r="B155" s="10" t="n"/>
      <c r="C155" s="10" t="n"/>
      <c r="D155" s="10" t="n"/>
      <c r="E155" s="11" t="n"/>
      <c r="F155" s="11" t="n"/>
      <c r="G155" s="9">
        <f>IF($B155="","",$B155&amp;"#"&amp;COUNTIF($B$5:$B155,$B155))</f>
        <v/>
      </c>
      <c r="H155" s="9">
        <f>IF($B155="","",IF(COUNTIF($B$5:$B155,$B155)=1,MAX($H$4:$H154)+1,""))</f>
        <v/>
      </c>
    </row>
    <row r="156">
      <c r="A156" s="10" t="n"/>
      <c r="B156" s="10" t="n"/>
      <c r="C156" s="10" t="n"/>
      <c r="D156" s="10" t="n"/>
      <c r="E156" s="11" t="n"/>
      <c r="F156" s="11" t="n"/>
      <c r="G156" s="9">
        <f>IF($B156="","",$B156&amp;"#"&amp;COUNTIF($B$5:$B156,$B156))</f>
        <v/>
      </c>
      <c r="H156" s="9">
        <f>IF($B156="","",IF(COUNTIF($B$5:$B156,$B156)=1,MAX($H$4:$H155)+1,""))</f>
        <v/>
      </c>
    </row>
    <row r="157">
      <c r="A157" s="10" t="n"/>
      <c r="B157" s="10" t="n"/>
      <c r="C157" s="10" t="n"/>
      <c r="D157" s="10" t="n"/>
      <c r="E157" s="11" t="n"/>
      <c r="F157" s="11" t="n"/>
      <c r="G157" s="9">
        <f>IF($B157="","",$B157&amp;"#"&amp;COUNTIF($B$5:$B157,$B157))</f>
        <v/>
      </c>
      <c r="H157" s="9">
        <f>IF($B157="","",IF(COUNTIF($B$5:$B157,$B157)=1,MAX($H$4:$H156)+1,""))</f>
        <v/>
      </c>
    </row>
    <row r="158">
      <c r="A158" s="10" t="n"/>
      <c r="B158" s="10" t="n"/>
      <c r="C158" s="10" t="n"/>
      <c r="D158" s="10" t="n"/>
      <c r="E158" s="11" t="n"/>
      <c r="F158" s="11" t="n"/>
      <c r="G158" s="9">
        <f>IF($B158="","",$B158&amp;"#"&amp;COUNTIF($B$5:$B158,$B158))</f>
        <v/>
      </c>
      <c r="H158" s="9">
        <f>IF($B158="","",IF(COUNTIF($B$5:$B158,$B158)=1,MAX($H$4:$H157)+1,""))</f>
        <v/>
      </c>
    </row>
    <row r="159">
      <c r="A159" s="10" t="n"/>
      <c r="B159" s="10" t="n"/>
      <c r="C159" s="10" t="n"/>
      <c r="D159" s="10" t="n"/>
      <c r="E159" s="11" t="n"/>
      <c r="F159" s="11" t="n"/>
      <c r="G159" s="9">
        <f>IF($B159="","",$B159&amp;"#"&amp;COUNTIF($B$5:$B159,$B159))</f>
        <v/>
      </c>
      <c r="H159" s="9">
        <f>IF($B159="","",IF(COUNTIF($B$5:$B159,$B159)=1,MAX($H$4:$H158)+1,""))</f>
        <v/>
      </c>
    </row>
    <row r="160">
      <c r="A160" s="10" t="n"/>
      <c r="B160" s="10" t="n"/>
      <c r="C160" s="10" t="n"/>
      <c r="D160" s="10" t="n"/>
      <c r="E160" s="11" t="n"/>
      <c r="F160" s="11" t="n"/>
      <c r="G160" s="9">
        <f>IF($B160="","",$B160&amp;"#"&amp;COUNTIF($B$5:$B160,$B160))</f>
        <v/>
      </c>
      <c r="H160" s="9">
        <f>IF($B160="","",IF(COUNTIF($B$5:$B160,$B160)=1,MAX($H$4:$H159)+1,""))</f>
        <v/>
      </c>
    </row>
    <row r="161">
      <c r="A161" s="10" t="n"/>
      <c r="B161" s="10" t="n"/>
      <c r="C161" s="10" t="n"/>
      <c r="D161" s="10" t="n"/>
      <c r="E161" s="11" t="n"/>
      <c r="F161" s="11" t="n"/>
      <c r="G161" s="9">
        <f>IF($B161="","",$B161&amp;"#"&amp;COUNTIF($B$5:$B161,$B161))</f>
        <v/>
      </c>
      <c r="H161" s="9">
        <f>IF($B161="","",IF(COUNTIF($B$5:$B161,$B161)=1,MAX($H$4:$H160)+1,""))</f>
        <v/>
      </c>
    </row>
    <row r="162">
      <c r="A162" s="10" t="n"/>
      <c r="B162" s="10" t="n"/>
      <c r="C162" s="10" t="n"/>
      <c r="D162" s="10" t="n"/>
      <c r="E162" s="11" t="n"/>
      <c r="F162" s="11" t="n"/>
      <c r="G162" s="9">
        <f>IF($B162="","",$B162&amp;"#"&amp;COUNTIF($B$5:$B162,$B162))</f>
        <v/>
      </c>
      <c r="H162" s="9">
        <f>IF($B162="","",IF(COUNTIF($B$5:$B162,$B162)=1,MAX($H$4:$H161)+1,""))</f>
        <v/>
      </c>
    </row>
    <row r="163">
      <c r="A163" s="10" t="n"/>
      <c r="B163" s="10" t="n"/>
      <c r="C163" s="10" t="n"/>
      <c r="D163" s="10" t="n"/>
      <c r="E163" s="11" t="n"/>
      <c r="F163" s="11" t="n"/>
      <c r="G163" s="9">
        <f>IF($B163="","",$B163&amp;"#"&amp;COUNTIF($B$5:$B163,$B163))</f>
        <v/>
      </c>
      <c r="H163" s="9">
        <f>IF($B163="","",IF(COUNTIF($B$5:$B163,$B163)=1,MAX($H$4:$H162)+1,""))</f>
        <v/>
      </c>
    </row>
    <row r="164">
      <c r="A164" s="10" t="n"/>
      <c r="B164" s="10" t="n"/>
      <c r="C164" s="10" t="n"/>
      <c r="D164" s="10" t="n"/>
      <c r="E164" s="11" t="n"/>
      <c r="F164" s="11" t="n"/>
      <c r="G164" s="9">
        <f>IF($B164="","",$B164&amp;"#"&amp;COUNTIF($B$5:$B164,$B164))</f>
        <v/>
      </c>
      <c r="H164" s="9">
        <f>IF($B164="","",IF(COUNTIF($B$5:$B164,$B164)=1,MAX($H$4:$H163)+1,""))</f>
        <v/>
      </c>
    </row>
    <row r="165">
      <c r="A165" s="10" t="n"/>
      <c r="B165" s="10" t="n"/>
      <c r="C165" s="10" t="n"/>
      <c r="D165" s="10" t="n"/>
      <c r="E165" s="11" t="n"/>
      <c r="F165" s="11" t="n"/>
      <c r="G165" s="9">
        <f>IF($B165="","",$B165&amp;"#"&amp;COUNTIF($B$5:$B165,$B165))</f>
        <v/>
      </c>
      <c r="H165" s="9">
        <f>IF($B165="","",IF(COUNTIF($B$5:$B165,$B165)=1,MAX($H$4:$H164)+1,""))</f>
        <v/>
      </c>
    </row>
    <row r="166">
      <c r="A166" s="10" t="n"/>
      <c r="B166" s="10" t="n"/>
      <c r="C166" s="10" t="n"/>
      <c r="D166" s="10" t="n"/>
      <c r="E166" s="11" t="n"/>
      <c r="F166" s="11" t="n"/>
      <c r="G166" s="9">
        <f>IF($B166="","",$B166&amp;"#"&amp;COUNTIF($B$5:$B166,$B166))</f>
        <v/>
      </c>
      <c r="H166" s="9">
        <f>IF($B166="","",IF(COUNTIF($B$5:$B166,$B166)=1,MAX($H$4:$H165)+1,""))</f>
        <v/>
      </c>
    </row>
    <row r="167">
      <c r="A167" s="10" t="n"/>
      <c r="B167" s="10" t="n"/>
      <c r="C167" s="10" t="n"/>
      <c r="D167" s="10" t="n"/>
      <c r="E167" s="11" t="n"/>
      <c r="F167" s="11" t="n"/>
      <c r="G167" s="9">
        <f>IF($B167="","",$B167&amp;"#"&amp;COUNTIF($B$5:$B167,$B167))</f>
        <v/>
      </c>
      <c r="H167" s="9">
        <f>IF($B167="","",IF(COUNTIF($B$5:$B167,$B167)=1,MAX($H$4:$H166)+1,""))</f>
        <v/>
      </c>
    </row>
    <row r="168">
      <c r="A168" s="10" t="n"/>
      <c r="B168" s="10" t="n"/>
      <c r="C168" s="10" t="n"/>
      <c r="D168" s="10" t="n"/>
      <c r="E168" s="11" t="n"/>
      <c r="F168" s="11" t="n"/>
      <c r="G168" s="9">
        <f>IF($B168="","",$B168&amp;"#"&amp;COUNTIF($B$5:$B168,$B168))</f>
        <v/>
      </c>
      <c r="H168" s="9">
        <f>IF($B168="","",IF(COUNTIF($B$5:$B168,$B168)=1,MAX($H$4:$H167)+1,""))</f>
        <v/>
      </c>
    </row>
    <row r="169">
      <c r="A169" s="10" t="n"/>
      <c r="B169" s="10" t="n"/>
      <c r="C169" s="10" t="n"/>
      <c r="D169" s="10" t="n"/>
      <c r="E169" s="11" t="n"/>
      <c r="F169" s="11" t="n"/>
      <c r="G169" s="9">
        <f>IF($B169="","",$B169&amp;"#"&amp;COUNTIF($B$5:$B169,$B169))</f>
        <v/>
      </c>
      <c r="H169" s="9">
        <f>IF($B169="","",IF(COUNTIF($B$5:$B169,$B169)=1,MAX($H$4:$H168)+1,""))</f>
        <v/>
      </c>
    </row>
    <row r="170">
      <c r="A170" s="10" t="n"/>
      <c r="B170" s="10" t="n"/>
      <c r="C170" s="10" t="n"/>
      <c r="D170" s="10" t="n"/>
      <c r="E170" s="11" t="n"/>
      <c r="F170" s="11" t="n"/>
      <c r="G170" s="9">
        <f>IF($B170="","",$B170&amp;"#"&amp;COUNTIF($B$5:$B170,$B170))</f>
        <v/>
      </c>
      <c r="H170" s="9">
        <f>IF($B170="","",IF(COUNTIF($B$5:$B170,$B170)=1,MAX($H$4:$H169)+1,""))</f>
        <v/>
      </c>
    </row>
    <row r="171">
      <c r="A171" s="10" t="n"/>
      <c r="B171" s="10" t="n"/>
      <c r="C171" s="10" t="n"/>
      <c r="D171" s="10" t="n"/>
      <c r="E171" s="11" t="n"/>
      <c r="F171" s="11" t="n"/>
      <c r="G171" s="9">
        <f>IF($B171="","",$B171&amp;"#"&amp;COUNTIF($B$5:$B171,$B171))</f>
        <v/>
      </c>
      <c r="H171" s="9">
        <f>IF($B171="","",IF(COUNTIF($B$5:$B171,$B171)=1,MAX($H$4:$H170)+1,""))</f>
        <v/>
      </c>
    </row>
    <row r="172">
      <c r="A172" s="10" t="n"/>
      <c r="B172" s="10" t="n"/>
      <c r="C172" s="10" t="n"/>
      <c r="D172" s="10" t="n"/>
      <c r="E172" s="11" t="n"/>
      <c r="F172" s="11" t="n"/>
      <c r="G172" s="9">
        <f>IF($B172="","",$B172&amp;"#"&amp;COUNTIF($B$5:$B172,$B172))</f>
        <v/>
      </c>
      <c r="H172" s="9">
        <f>IF($B172="","",IF(COUNTIF($B$5:$B172,$B172)=1,MAX($H$4:$H171)+1,""))</f>
        <v/>
      </c>
    </row>
    <row r="173">
      <c r="A173" s="10" t="n"/>
      <c r="B173" s="10" t="n"/>
      <c r="C173" s="10" t="n"/>
      <c r="D173" s="10" t="n"/>
      <c r="E173" s="11" t="n"/>
      <c r="F173" s="11" t="n"/>
      <c r="G173" s="9">
        <f>IF($B173="","",$B173&amp;"#"&amp;COUNTIF($B$5:$B173,$B173))</f>
        <v/>
      </c>
      <c r="H173" s="9">
        <f>IF($B173="","",IF(COUNTIF($B$5:$B173,$B173)=1,MAX($H$4:$H172)+1,""))</f>
        <v/>
      </c>
    </row>
    <row r="174">
      <c r="A174" s="10" t="n"/>
      <c r="B174" s="10" t="n"/>
      <c r="C174" s="10" t="n"/>
      <c r="D174" s="10" t="n"/>
      <c r="E174" s="11" t="n"/>
      <c r="F174" s="11" t="n"/>
      <c r="G174" s="9">
        <f>IF($B174="","",$B174&amp;"#"&amp;COUNTIF($B$5:$B174,$B174))</f>
        <v/>
      </c>
      <c r="H174" s="9">
        <f>IF($B174="","",IF(COUNTIF($B$5:$B174,$B174)=1,MAX($H$4:$H173)+1,""))</f>
        <v/>
      </c>
    </row>
    <row r="175">
      <c r="A175" s="10" t="n"/>
      <c r="B175" s="10" t="n"/>
      <c r="C175" s="10" t="n"/>
      <c r="D175" s="10" t="n"/>
      <c r="E175" s="11" t="n"/>
      <c r="F175" s="11" t="n"/>
      <c r="G175" s="9">
        <f>IF($B175="","",$B175&amp;"#"&amp;COUNTIF($B$5:$B175,$B175))</f>
        <v/>
      </c>
      <c r="H175" s="9">
        <f>IF($B175="","",IF(COUNTIF($B$5:$B175,$B175)=1,MAX($H$4:$H174)+1,""))</f>
        <v/>
      </c>
    </row>
    <row r="176">
      <c r="A176" s="10" t="n"/>
      <c r="B176" s="10" t="n"/>
      <c r="C176" s="10" t="n"/>
      <c r="D176" s="10" t="n"/>
      <c r="E176" s="11" t="n"/>
      <c r="F176" s="11" t="n"/>
      <c r="G176" s="9">
        <f>IF($B176="","",$B176&amp;"#"&amp;COUNTIF($B$5:$B176,$B176))</f>
        <v/>
      </c>
      <c r="H176" s="9">
        <f>IF($B176="","",IF(COUNTIF($B$5:$B176,$B176)=1,MAX($H$4:$H175)+1,""))</f>
        <v/>
      </c>
    </row>
    <row r="177">
      <c r="A177" s="10" t="n"/>
      <c r="B177" s="10" t="n"/>
      <c r="C177" s="10" t="n"/>
      <c r="D177" s="10" t="n"/>
      <c r="E177" s="11" t="n"/>
      <c r="F177" s="11" t="n"/>
      <c r="G177" s="9">
        <f>IF($B177="","",$B177&amp;"#"&amp;COUNTIF($B$5:$B177,$B177))</f>
        <v/>
      </c>
      <c r="H177" s="9">
        <f>IF($B177="","",IF(COUNTIF($B$5:$B177,$B177)=1,MAX($H$4:$H176)+1,""))</f>
        <v/>
      </c>
    </row>
    <row r="178">
      <c r="A178" s="10" t="n"/>
      <c r="B178" s="10" t="n"/>
      <c r="C178" s="10" t="n"/>
      <c r="D178" s="10" t="n"/>
      <c r="E178" s="11" t="n"/>
      <c r="F178" s="11" t="n"/>
      <c r="G178" s="9">
        <f>IF($B178="","",$B178&amp;"#"&amp;COUNTIF($B$5:$B178,$B178))</f>
        <v/>
      </c>
      <c r="H178" s="9">
        <f>IF($B178="","",IF(COUNTIF($B$5:$B178,$B178)=1,MAX($H$4:$H177)+1,""))</f>
        <v/>
      </c>
    </row>
    <row r="179">
      <c r="A179" s="10" t="n"/>
      <c r="B179" s="10" t="n"/>
      <c r="C179" s="10" t="n"/>
      <c r="D179" s="10" t="n"/>
      <c r="E179" s="11" t="n"/>
      <c r="F179" s="11" t="n"/>
      <c r="G179" s="9">
        <f>IF($B179="","",$B179&amp;"#"&amp;COUNTIF($B$5:$B179,$B179))</f>
        <v/>
      </c>
      <c r="H179" s="9">
        <f>IF($B179="","",IF(COUNTIF($B$5:$B179,$B179)=1,MAX($H$4:$H178)+1,""))</f>
        <v/>
      </c>
    </row>
    <row r="180">
      <c r="A180" s="10" t="n"/>
      <c r="B180" s="10" t="n"/>
      <c r="C180" s="10" t="n"/>
      <c r="D180" s="10" t="n"/>
      <c r="E180" s="11" t="n"/>
      <c r="F180" s="11" t="n"/>
      <c r="G180" s="9">
        <f>IF($B180="","",$B180&amp;"#"&amp;COUNTIF($B$5:$B180,$B180))</f>
        <v/>
      </c>
      <c r="H180" s="9">
        <f>IF($B180="","",IF(COUNTIF($B$5:$B180,$B180)=1,MAX($H$4:$H179)+1,""))</f>
        <v/>
      </c>
    </row>
    <row r="181">
      <c r="A181" s="10" t="n"/>
      <c r="B181" s="10" t="n"/>
      <c r="C181" s="10" t="n"/>
      <c r="D181" s="10" t="n"/>
      <c r="E181" s="11" t="n"/>
      <c r="F181" s="11" t="n"/>
      <c r="G181" s="9">
        <f>IF($B181="","",$B181&amp;"#"&amp;COUNTIF($B$5:$B181,$B181))</f>
        <v/>
      </c>
      <c r="H181" s="9">
        <f>IF($B181="","",IF(COUNTIF($B$5:$B181,$B181)=1,MAX($H$4:$H180)+1,""))</f>
        <v/>
      </c>
    </row>
    <row r="182">
      <c r="A182" s="10" t="n"/>
      <c r="B182" s="10" t="n"/>
      <c r="C182" s="10" t="n"/>
      <c r="D182" s="10" t="n"/>
      <c r="E182" s="11" t="n"/>
      <c r="F182" s="11" t="n"/>
      <c r="G182" s="9">
        <f>IF($B182="","",$B182&amp;"#"&amp;COUNTIF($B$5:$B182,$B182))</f>
        <v/>
      </c>
      <c r="H182" s="9">
        <f>IF($B182="","",IF(COUNTIF($B$5:$B182,$B182)=1,MAX($H$4:$H181)+1,""))</f>
        <v/>
      </c>
    </row>
    <row r="183">
      <c r="A183" s="10" t="n"/>
      <c r="B183" s="10" t="n"/>
      <c r="C183" s="10" t="n"/>
      <c r="D183" s="10" t="n"/>
      <c r="E183" s="11" t="n"/>
      <c r="F183" s="11" t="n"/>
      <c r="G183" s="9">
        <f>IF($B183="","",$B183&amp;"#"&amp;COUNTIF($B$5:$B183,$B183))</f>
        <v/>
      </c>
      <c r="H183" s="9">
        <f>IF($B183="","",IF(COUNTIF($B$5:$B183,$B183)=1,MAX($H$4:$H182)+1,""))</f>
        <v/>
      </c>
    </row>
    <row r="184">
      <c r="A184" s="10" t="n"/>
      <c r="B184" s="10" t="n"/>
      <c r="C184" s="10" t="n"/>
      <c r="D184" s="10" t="n"/>
      <c r="E184" s="11" t="n"/>
      <c r="F184" s="11" t="n"/>
      <c r="G184" s="9">
        <f>IF($B184="","",$B184&amp;"#"&amp;COUNTIF($B$5:$B184,$B184))</f>
        <v/>
      </c>
      <c r="H184" s="9">
        <f>IF($B184="","",IF(COUNTIF($B$5:$B184,$B184)=1,MAX($H$4:$H183)+1,""))</f>
        <v/>
      </c>
    </row>
    <row r="185">
      <c r="A185" s="10" t="n"/>
      <c r="B185" s="10" t="n"/>
      <c r="C185" s="10" t="n"/>
      <c r="D185" s="10" t="n"/>
      <c r="E185" s="11" t="n"/>
      <c r="F185" s="11" t="n"/>
      <c r="G185" s="9">
        <f>IF($B185="","",$B185&amp;"#"&amp;COUNTIF($B$5:$B185,$B185))</f>
        <v/>
      </c>
      <c r="H185" s="9">
        <f>IF($B185="","",IF(COUNTIF($B$5:$B185,$B185)=1,MAX($H$4:$H184)+1,""))</f>
        <v/>
      </c>
    </row>
    <row r="186">
      <c r="A186" s="10" t="n"/>
      <c r="B186" s="10" t="n"/>
      <c r="C186" s="10" t="n"/>
      <c r="D186" s="10" t="n"/>
      <c r="E186" s="11" t="n"/>
      <c r="F186" s="11" t="n"/>
      <c r="G186" s="9">
        <f>IF($B186="","",$B186&amp;"#"&amp;COUNTIF($B$5:$B186,$B186))</f>
        <v/>
      </c>
      <c r="H186" s="9">
        <f>IF($B186="","",IF(COUNTIF($B$5:$B186,$B186)=1,MAX($H$4:$H185)+1,""))</f>
        <v/>
      </c>
    </row>
    <row r="187">
      <c r="A187" s="10" t="n"/>
      <c r="B187" s="10" t="n"/>
      <c r="C187" s="10" t="n"/>
      <c r="D187" s="10" t="n"/>
      <c r="E187" s="11" t="n"/>
      <c r="F187" s="11" t="n"/>
      <c r="G187" s="9">
        <f>IF($B187="","",$B187&amp;"#"&amp;COUNTIF($B$5:$B187,$B187))</f>
        <v/>
      </c>
      <c r="H187" s="9">
        <f>IF($B187="","",IF(COUNTIF($B$5:$B187,$B187)=1,MAX($H$4:$H186)+1,""))</f>
        <v/>
      </c>
    </row>
    <row r="188">
      <c r="A188" s="10" t="n"/>
      <c r="B188" s="10" t="n"/>
      <c r="C188" s="10" t="n"/>
      <c r="D188" s="10" t="n"/>
      <c r="E188" s="11" t="n"/>
      <c r="F188" s="11" t="n"/>
      <c r="G188" s="9">
        <f>IF($B188="","",$B188&amp;"#"&amp;COUNTIF($B$5:$B188,$B188))</f>
        <v/>
      </c>
      <c r="H188" s="9">
        <f>IF($B188="","",IF(COUNTIF($B$5:$B188,$B188)=1,MAX($H$4:$H187)+1,""))</f>
        <v/>
      </c>
    </row>
    <row r="189">
      <c r="A189" s="10" t="n"/>
      <c r="B189" s="10" t="n"/>
      <c r="C189" s="10" t="n"/>
      <c r="D189" s="10" t="n"/>
      <c r="E189" s="11" t="n"/>
      <c r="F189" s="11" t="n"/>
      <c r="G189" s="9">
        <f>IF($B189="","",$B189&amp;"#"&amp;COUNTIF($B$5:$B189,$B189))</f>
        <v/>
      </c>
      <c r="H189" s="9">
        <f>IF($B189="","",IF(COUNTIF($B$5:$B189,$B189)=1,MAX($H$4:$H188)+1,""))</f>
        <v/>
      </c>
    </row>
    <row r="190">
      <c r="A190" s="10" t="n"/>
      <c r="B190" s="10" t="n"/>
      <c r="C190" s="10" t="n"/>
      <c r="D190" s="10" t="n"/>
      <c r="E190" s="11" t="n"/>
      <c r="F190" s="11" t="n"/>
      <c r="G190" s="9">
        <f>IF($B190="","",$B190&amp;"#"&amp;COUNTIF($B$5:$B190,$B190))</f>
        <v/>
      </c>
      <c r="H190" s="9">
        <f>IF($B190="","",IF(COUNTIF($B$5:$B190,$B190)=1,MAX($H$4:$H189)+1,""))</f>
        <v/>
      </c>
    </row>
    <row r="191">
      <c r="A191" s="10" t="n"/>
      <c r="B191" s="10" t="n"/>
      <c r="C191" s="10" t="n"/>
      <c r="D191" s="10" t="n"/>
      <c r="E191" s="11" t="n"/>
      <c r="F191" s="11" t="n"/>
      <c r="G191" s="9">
        <f>IF($B191="","",$B191&amp;"#"&amp;COUNTIF($B$5:$B191,$B191))</f>
        <v/>
      </c>
      <c r="H191" s="9">
        <f>IF($B191="","",IF(COUNTIF($B$5:$B191,$B191)=1,MAX($H$4:$H190)+1,""))</f>
        <v/>
      </c>
    </row>
    <row r="192">
      <c r="A192" s="10" t="n"/>
      <c r="B192" s="10" t="n"/>
      <c r="C192" s="10" t="n"/>
      <c r="D192" s="10" t="n"/>
      <c r="E192" s="11" t="n"/>
      <c r="F192" s="11" t="n"/>
      <c r="G192" s="9">
        <f>IF($B192="","",$B192&amp;"#"&amp;COUNTIF($B$5:$B192,$B192))</f>
        <v/>
      </c>
      <c r="H192" s="9">
        <f>IF($B192="","",IF(COUNTIF($B$5:$B192,$B192)=1,MAX($H$4:$H191)+1,""))</f>
        <v/>
      </c>
    </row>
    <row r="193">
      <c r="A193" s="10" t="n"/>
      <c r="B193" s="10" t="n"/>
      <c r="C193" s="10" t="n"/>
      <c r="D193" s="10" t="n"/>
      <c r="E193" s="11" t="n"/>
      <c r="F193" s="11" t="n"/>
      <c r="G193" s="9">
        <f>IF($B193="","",$B193&amp;"#"&amp;COUNTIF($B$5:$B193,$B193))</f>
        <v/>
      </c>
      <c r="H193" s="9">
        <f>IF($B193="","",IF(COUNTIF($B$5:$B193,$B193)=1,MAX($H$4:$H192)+1,""))</f>
        <v/>
      </c>
    </row>
    <row r="194">
      <c r="A194" s="10" t="n"/>
      <c r="B194" s="10" t="n"/>
      <c r="C194" s="10" t="n"/>
      <c r="D194" s="10" t="n"/>
      <c r="E194" s="11" t="n"/>
      <c r="F194" s="11" t="n"/>
      <c r="G194" s="9">
        <f>IF($B194="","",$B194&amp;"#"&amp;COUNTIF($B$5:$B194,$B194))</f>
        <v/>
      </c>
      <c r="H194" s="9">
        <f>IF($B194="","",IF(COUNTIF($B$5:$B194,$B194)=1,MAX($H$4:$H193)+1,""))</f>
        <v/>
      </c>
    </row>
    <row r="195">
      <c r="A195" s="10" t="n"/>
      <c r="B195" s="10" t="n"/>
      <c r="C195" s="10" t="n"/>
      <c r="D195" s="10" t="n"/>
      <c r="E195" s="11" t="n"/>
      <c r="F195" s="11" t="n"/>
      <c r="G195" s="9">
        <f>IF($B195="","",$B195&amp;"#"&amp;COUNTIF($B$5:$B195,$B195))</f>
        <v/>
      </c>
      <c r="H195" s="9">
        <f>IF($B195="","",IF(COUNTIF($B$5:$B195,$B195)=1,MAX($H$4:$H194)+1,""))</f>
        <v/>
      </c>
    </row>
    <row r="196">
      <c r="A196" s="10" t="n"/>
      <c r="B196" s="10" t="n"/>
      <c r="C196" s="10" t="n"/>
      <c r="D196" s="10" t="n"/>
      <c r="E196" s="11" t="n"/>
      <c r="F196" s="11" t="n"/>
      <c r="G196" s="9">
        <f>IF($B196="","",$B196&amp;"#"&amp;COUNTIF($B$5:$B196,$B196))</f>
        <v/>
      </c>
      <c r="H196" s="9">
        <f>IF($B196="","",IF(COUNTIF($B$5:$B196,$B196)=1,MAX($H$4:$H195)+1,""))</f>
        <v/>
      </c>
    </row>
    <row r="197">
      <c r="A197" s="10" t="n"/>
      <c r="B197" s="10" t="n"/>
      <c r="C197" s="10" t="n"/>
      <c r="D197" s="10" t="n"/>
      <c r="E197" s="11" t="n"/>
      <c r="F197" s="11" t="n"/>
      <c r="G197" s="9">
        <f>IF($B197="","",$B197&amp;"#"&amp;COUNTIF($B$5:$B197,$B197))</f>
        <v/>
      </c>
      <c r="H197" s="9">
        <f>IF($B197="","",IF(COUNTIF($B$5:$B197,$B197)=1,MAX($H$4:$H196)+1,""))</f>
        <v/>
      </c>
    </row>
    <row r="198">
      <c r="A198" s="10" t="n"/>
      <c r="B198" s="10" t="n"/>
      <c r="C198" s="10" t="n"/>
      <c r="D198" s="10" t="n"/>
      <c r="E198" s="11" t="n"/>
      <c r="F198" s="11" t="n"/>
      <c r="G198" s="9">
        <f>IF($B198="","",$B198&amp;"#"&amp;COUNTIF($B$5:$B198,$B198))</f>
        <v/>
      </c>
      <c r="H198" s="9">
        <f>IF($B198="","",IF(COUNTIF($B$5:$B198,$B198)=1,MAX($H$4:$H197)+1,""))</f>
        <v/>
      </c>
    </row>
    <row r="199">
      <c r="A199" s="10" t="n"/>
      <c r="B199" s="10" t="n"/>
      <c r="C199" s="10" t="n"/>
      <c r="D199" s="10" t="n"/>
      <c r="E199" s="11" t="n"/>
      <c r="F199" s="11" t="n"/>
      <c r="G199" s="9">
        <f>IF($B199="","",$B199&amp;"#"&amp;COUNTIF($B$5:$B199,$B199))</f>
        <v/>
      </c>
      <c r="H199" s="9">
        <f>IF($B199="","",IF(COUNTIF($B$5:$B199,$B199)=1,MAX($H$4:$H198)+1,""))</f>
        <v/>
      </c>
    </row>
    <row r="200">
      <c r="A200" s="10" t="n"/>
      <c r="B200" s="10" t="n"/>
      <c r="C200" s="10" t="n"/>
      <c r="D200" s="10" t="n"/>
      <c r="E200" s="11" t="n"/>
      <c r="F200" s="11" t="n"/>
      <c r="G200" s="9">
        <f>IF($B200="","",$B200&amp;"#"&amp;COUNTIF($B$5:$B200,$B200))</f>
        <v/>
      </c>
      <c r="H200" s="9">
        <f>IF($B200="","",IF(COUNTIF($B$5:$B200,$B200)=1,MAX($H$4:$H199)+1,""))</f>
        <v/>
      </c>
    </row>
    <row r="201">
      <c r="A201" s="10" t="n"/>
      <c r="B201" s="10" t="n"/>
      <c r="C201" s="10" t="n"/>
      <c r="D201" s="10" t="n"/>
      <c r="E201" s="11" t="n"/>
      <c r="F201" s="11" t="n"/>
      <c r="G201" s="9">
        <f>IF($B201="","",$B201&amp;"#"&amp;COUNTIF($B$5:$B201,$B201))</f>
        <v/>
      </c>
      <c r="H201" s="9">
        <f>IF($B201="","",IF(COUNTIF($B$5:$B201,$B201)=1,MAX($H$4:$H200)+1,""))</f>
        <v/>
      </c>
    </row>
    <row r="202">
      <c r="A202" s="10" t="n"/>
      <c r="B202" s="10" t="n"/>
      <c r="C202" s="10" t="n"/>
      <c r="D202" s="10" t="n"/>
      <c r="E202" s="11" t="n"/>
      <c r="F202" s="11" t="n"/>
      <c r="G202" s="9">
        <f>IF($B202="","",$B202&amp;"#"&amp;COUNTIF($B$5:$B202,$B202))</f>
        <v/>
      </c>
      <c r="H202" s="9">
        <f>IF($B202="","",IF(COUNTIF($B$5:$B202,$B202)=1,MAX($H$4:$H201)+1,""))</f>
        <v/>
      </c>
    </row>
    <row r="203">
      <c r="A203" s="10" t="n"/>
      <c r="B203" s="10" t="n"/>
      <c r="C203" s="10" t="n"/>
      <c r="D203" s="10" t="n"/>
      <c r="E203" s="11" t="n"/>
      <c r="F203" s="11" t="n"/>
      <c r="G203" s="9">
        <f>IF($B203="","",$B203&amp;"#"&amp;COUNTIF($B$5:$B203,$B203))</f>
        <v/>
      </c>
      <c r="H203" s="9">
        <f>IF($B203="","",IF(COUNTIF($B$5:$B203,$B203)=1,MAX($H$4:$H202)+1,""))</f>
        <v/>
      </c>
    </row>
    <row r="204">
      <c r="A204" s="10" t="n"/>
      <c r="B204" s="10" t="n"/>
      <c r="C204" s="10" t="n"/>
      <c r="D204" s="10" t="n"/>
      <c r="E204" s="11" t="n"/>
      <c r="F204" s="11" t="n"/>
      <c r="G204" s="9">
        <f>IF($B204="","",$B204&amp;"#"&amp;COUNTIF($B$5:$B204,$B204))</f>
        <v/>
      </c>
      <c r="H204" s="9">
        <f>IF($B204="","",IF(COUNTIF($B$5:$B204,$B204)=1,MAX($H$4:$H203)+1,""))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4" t="inlineStr">
        <is>
          <t>계정 분류표 — 잔액 방향 자동 판별용</t>
        </is>
      </c>
    </row>
    <row r="2">
      <c r="A2" s="5" t="inlineStr">
        <is>
          <t>■ 결산명세서에서 '미분류'가 뜨는 계정은 여기에 계정과목과 구분(자산/부채/자본/수익/비용)을 추가하세요.</t>
        </is>
      </c>
    </row>
    <row r="3"/>
    <row r="4">
      <c r="A4" s="6" t="inlineStr">
        <is>
          <t>계정과목</t>
        </is>
      </c>
      <c r="B4" s="6" t="inlineStr">
        <is>
          <t>구분</t>
        </is>
      </c>
    </row>
    <row r="5">
      <c r="A5" s="12" t="inlineStr">
        <is>
          <t>현금</t>
        </is>
      </c>
      <c r="B5" s="13" t="inlineStr">
        <is>
          <t>자산</t>
        </is>
      </c>
    </row>
    <row r="6">
      <c r="A6" s="12" t="inlineStr">
        <is>
          <t>당좌예금</t>
        </is>
      </c>
      <c r="B6" s="13" t="inlineStr">
        <is>
          <t>자산</t>
        </is>
      </c>
    </row>
    <row r="7">
      <c r="A7" s="12" t="inlineStr">
        <is>
          <t>보통예금</t>
        </is>
      </c>
      <c r="B7" s="13" t="inlineStr">
        <is>
          <t>자산</t>
        </is>
      </c>
    </row>
    <row r="8">
      <c r="A8" s="12" t="inlineStr">
        <is>
          <t>정기예금</t>
        </is>
      </c>
      <c r="B8" s="13" t="inlineStr">
        <is>
          <t>자산</t>
        </is>
      </c>
    </row>
    <row r="9">
      <c r="A9" s="12" t="inlineStr">
        <is>
          <t>단기금융상품</t>
        </is>
      </c>
      <c r="B9" s="13" t="inlineStr">
        <is>
          <t>자산</t>
        </is>
      </c>
    </row>
    <row r="10">
      <c r="A10" s="12" t="inlineStr">
        <is>
          <t>외상매출금</t>
        </is>
      </c>
      <c r="B10" s="13" t="inlineStr">
        <is>
          <t>자산</t>
        </is>
      </c>
    </row>
    <row r="11">
      <c r="A11" s="12" t="inlineStr">
        <is>
          <t>받을어음</t>
        </is>
      </c>
      <c r="B11" s="13" t="inlineStr">
        <is>
          <t>자산</t>
        </is>
      </c>
    </row>
    <row r="12">
      <c r="A12" s="12" t="inlineStr">
        <is>
          <t>미수금</t>
        </is>
      </c>
      <c r="B12" s="13" t="inlineStr">
        <is>
          <t>자산</t>
        </is>
      </c>
    </row>
    <row r="13">
      <c r="A13" s="12" t="inlineStr">
        <is>
          <t>미수수익</t>
        </is>
      </c>
      <c r="B13" s="13" t="inlineStr">
        <is>
          <t>자산</t>
        </is>
      </c>
    </row>
    <row r="14">
      <c r="A14" s="12" t="inlineStr">
        <is>
          <t>선급금</t>
        </is>
      </c>
      <c r="B14" s="13" t="inlineStr">
        <is>
          <t>자산</t>
        </is>
      </c>
    </row>
    <row r="15">
      <c r="A15" s="12" t="inlineStr">
        <is>
          <t>선급비용</t>
        </is>
      </c>
      <c r="B15" s="13" t="inlineStr">
        <is>
          <t>자산</t>
        </is>
      </c>
    </row>
    <row r="16">
      <c r="A16" s="12" t="inlineStr">
        <is>
          <t>가지급금</t>
        </is>
      </c>
      <c r="B16" s="13" t="inlineStr">
        <is>
          <t>자산</t>
        </is>
      </c>
    </row>
    <row r="17">
      <c r="A17" s="12" t="inlineStr">
        <is>
          <t>재고자산</t>
        </is>
      </c>
      <c r="B17" s="13" t="inlineStr">
        <is>
          <t>자산</t>
        </is>
      </c>
    </row>
    <row r="18">
      <c r="A18" s="12" t="inlineStr">
        <is>
          <t>상품</t>
        </is>
      </c>
      <c r="B18" s="13" t="inlineStr">
        <is>
          <t>자산</t>
        </is>
      </c>
    </row>
    <row r="19">
      <c r="A19" s="12" t="inlineStr">
        <is>
          <t>제품</t>
        </is>
      </c>
      <c r="B19" s="13" t="inlineStr">
        <is>
          <t>자산</t>
        </is>
      </c>
    </row>
    <row r="20">
      <c r="A20" s="12" t="inlineStr">
        <is>
          <t>원재료</t>
        </is>
      </c>
      <c r="B20" s="13" t="inlineStr">
        <is>
          <t>자산</t>
        </is>
      </c>
    </row>
    <row r="21">
      <c r="A21" s="12" t="inlineStr">
        <is>
          <t>토지</t>
        </is>
      </c>
      <c r="B21" s="13" t="inlineStr">
        <is>
          <t>자산</t>
        </is>
      </c>
    </row>
    <row r="22">
      <c r="A22" s="12" t="inlineStr">
        <is>
          <t>건물</t>
        </is>
      </c>
      <c r="B22" s="13" t="inlineStr">
        <is>
          <t>자산</t>
        </is>
      </c>
    </row>
    <row r="23">
      <c r="A23" s="12" t="inlineStr">
        <is>
          <t>기계장치</t>
        </is>
      </c>
      <c r="B23" s="13" t="inlineStr">
        <is>
          <t>자산</t>
        </is>
      </c>
    </row>
    <row r="24">
      <c r="A24" s="12" t="inlineStr">
        <is>
          <t>차량운반구</t>
        </is>
      </c>
      <c r="B24" s="13" t="inlineStr">
        <is>
          <t>자산</t>
        </is>
      </c>
    </row>
    <row r="25">
      <c r="A25" s="12" t="inlineStr">
        <is>
          <t>비품</t>
        </is>
      </c>
      <c r="B25" s="13" t="inlineStr">
        <is>
          <t>자산</t>
        </is>
      </c>
    </row>
    <row r="26">
      <c r="A26" s="12" t="inlineStr">
        <is>
          <t>임차보증금</t>
        </is>
      </c>
      <c r="B26" s="13" t="inlineStr">
        <is>
          <t>자산</t>
        </is>
      </c>
    </row>
    <row r="27">
      <c r="A27" s="12" t="inlineStr">
        <is>
          <t>소프트웨어</t>
        </is>
      </c>
      <c r="B27" s="13" t="inlineStr">
        <is>
          <t>자산</t>
        </is>
      </c>
    </row>
    <row r="28">
      <c r="A28" s="12" t="inlineStr">
        <is>
          <t>부가세대급금</t>
        </is>
      </c>
      <c r="B28" s="13" t="inlineStr">
        <is>
          <t>자산</t>
        </is>
      </c>
    </row>
    <row r="29">
      <c r="A29" s="12" t="inlineStr">
        <is>
          <t>외상매입금</t>
        </is>
      </c>
      <c r="B29" s="13" t="inlineStr">
        <is>
          <t>부채</t>
        </is>
      </c>
    </row>
    <row r="30">
      <c r="A30" s="12" t="inlineStr">
        <is>
          <t>지급어음</t>
        </is>
      </c>
      <c r="B30" s="13" t="inlineStr">
        <is>
          <t>부채</t>
        </is>
      </c>
    </row>
    <row r="31">
      <c r="A31" s="12" t="inlineStr">
        <is>
          <t>미지급금</t>
        </is>
      </c>
      <c r="B31" s="13" t="inlineStr">
        <is>
          <t>부채</t>
        </is>
      </c>
    </row>
    <row r="32">
      <c r="A32" s="12" t="inlineStr">
        <is>
          <t>미지급비용</t>
        </is>
      </c>
      <c r="B32" s="13" t="inlineStr">
        <is>
          <t>부채</t>
        </is>
      </c>
    </row>
    <row r="33">
      <c r="A33" s="12" t="inlineStr">
        <is>
          <t>예수금</t>
        </is>
      </c>
      <c r="B33" s="13" t="inlineStr">
        <is>
          <t>부채</t>
        </is>
      </c>
    </row>
    <row r="34">
      <c r="A34" s="12" t="inlineStr">
        <is>
          <t>부가세예수금</t>
        </is>
      </c>
      <c r="B34" s="13" t="inlineStr">
        <is>
          <t>부채</t>
        </is>
      </c>
    </row>
    <row r="35">
      <c r="A35" s="12" t="inlineStr">
        <is>
          <t>선수금</t>
        </is>
      </c>
      <c r="B35" s="13" t="inlineStr">
        <is>
          <t>부채</t>
        </is>
      </c>
    </row>
    <row r="36">
      <c r="A36" s="12" t="inlineStr">
        <is>
          <t>선수수익</t>
        </is>
      </c>
      <c r="B36" s="13" t="inlineStr">
        <is>
          <t>부채</t>
        </is>
      </c>
    </row>
    <row r="37">
      <c r="A37" s="12" t="inlineStr">
        <is>
          <t>가수금</t>
        </is>
      </c>
      <c r="B37" s="13" t="inlineStr">
        <is>
          <t>부채</t>
        </is>
      </c>
    </row>
    <row r="38">
      <c r="A38" s="12" t="inlineStr">
        <is>
          <t>단기차입금</t>
        </is>
      </c>
      <c r="B38" s="13" t="inlineStr">
        <is>
          <t>부채</t>
        </is>
      </c>
    </row>
    <row r="39">
      <c r="A39" s="12" t="inlineStr">
        <is>
          <t>장기차입금</t>
        </is>
      </c>
      <c r="B39" s="13" t="inlineStr">
        <is>
          <t>부채</t>
        </is>
      </c>
    </row>
    <row r="40">
      <c r="A40" s="12" t="inlineStr">
        <is>
          <t>유동성장기부채</t>
        </is>
      </c>
      <c r="B40" s="13" t="inlineStr">
        <is>
          <t>부채</t>
        </is>
      </c>
    </row>
    <row r="41">
      <c r="A41" s="12" t="inlineStr">
        <is>
          <t>퇴직급여충당부채</t>
        </is>
      </c>
      <c r="B41" s="13" t="inlineStr">
        <is>
          <t>부채</t>
        </is>
      </c>
    </row>
    <row r="42">
      <c r="A42" s="12" t="inlineStr">
        <is>
          <t>자본금</t>
        </is>
      </c>
      <c r="B42" s="13" t="inlineStr">
        <is>
          <t>자본</t>
        </is>
      </c>
    </row>
    <row r="43">
      <c r="A43" s="12" t="inlineStr">
        <is>
          <t>이익잉여금</t>
        </is>
      </c>
      <c r="B43" s="13" t="inlineStr">
        <is>
          <t>자본</t>
        </is>
      </c>
    </row>
    <row r="44">
      <c r="A44" s="12" t="inlineStr">
        <is>
          <t>인출금</t>
        </is>
      </c>
      <c r="B44" s="13" t="inlineStr">
        <is>
          <t>자본</t>
        </is>
      </c>
    </row>
    <row r="45">
      <c r="A45" s="12" t="inlineStr">
        <is>
          <t>매출</t>
        </is>
      </c>
      <c r="B45" s="13" t="inlineStr">
        <is>
          <t>수익</t>
        </is>
      </c>
    </row>
    <row r="46">
      <c r="A46" s="12" t="inlineStr">
        <is>
          <t>이자수익</t>
        </is>
      </c>
      <c r="B46" s="13" t="inlineStr">
        <is>
          <t>수익</t>
        </is>
      </c>
    </row>
    <row r="47">
      <c r="A47" s="12" t="inlineStr">
        <is>
          <t>잡이익</t>
        </is>
      </c>
      <c r="B47" s="13" t="inlineStr">
        <is>
          <t>수익</t>
        </is>
      </c>
    </row>
    <row r="48">
      <c r="A48" s="12" t="inlineStr">
        <is>
          <t>매입</t>
        </is>
      </c>
      <c r="B48" s="13" t="inlineStr">
        <is>
          <t>비용</t>
        </is>
      </c>
    </row>
    <row r="49">
      <c r="A49" s="12" t="inlineStr">
        <is>
          <t>급여</t>
        </is>
      </c>
      <c r="B49" s="13" t="inlineStr">
        <is>
          <t>비용</t>
        </is>
      </c>
    </row>
    <row r="50">
      <c r="A50" s="12" t="inlineStr">
        <is>
          <t>복리후생비</t>
        </is>
      </c>
      <c r="B50" s="13" t="inlineStr">
        <is>
          <t>비용</t>
        </is>
      </c>
    </row>
    <row r="51">
      <c r="A51" s="12" t="inlineStr">
        <is>
          <t>임차료</t>
        </is>
      </c>
      <c r="B51" s="13" t="inlineStr">
        <is>
          <t>비용</t>
        </is>
      </c>
    </row>
    <row r="52">
      <c r="A52" s="12" t="inlineStr">
        <is>
          <t>감가상각비</t>
        </is>
      </c>
      <c r="B52" s="13" t="inlineStr">
        <is>
          <t>비용</t>
        </is>
      </c>
    </row>
    <row r="53">
      <c r="A53" s="12" t="inlineStr">
        <is>
          <t>지급수수료</t>
        </is>
      </c>
      <c r="B53" s="13" t="inlineStr">
        <is>
          <t>비용</t>
        </is>
      </c>
    </row>
    <row r="54">
      <c r="A54" s="12" t="inlineStr">
        <is>
          <t>소모품비</t>
        </is>
      </c>
      <c r="B54" s="13" t="inlineStr">
        <is>
          <t>비용</t>
        </is>
      </c>
    </row>
    <row r="55">
      <c r="A55" s="12" t="inlineStr">
        <is>
          <t>여비교통비</t>
        </is>
      </c>
      <c r="B55" s="13" t="inlineStr">
        <is>
          <t>비용</t>
        </is>
      </c>
    </row>
    <row r="56">
      <c r="A56" s="12" t="inlineStr">
        <is>
          <t>통신비</t>
        </is>
      </c>
      <c r="B56" s="13" t="inlineStr">
        <is>
          <t>비용</t>
        </is>
      </c>
    </row>
    <row r="57">
      <c r="A57" s="12" t="inlineStr">
        <is>
          <t>세금과공과</t>
        </is>
      </c>
      <c r="B57" s="13" t="inlineStr">
        <is>
          <t>비용</t>
        </is>
      </c>
    </row>
    <row r="58">
      <c r="A58" s="12" t="inlineStr">
        <is>
          <t>이자비용</t>
        </is>
      </c>
      <c r="B58" s="13" t="inlineStr">
        <is>
          <t>비용</t>
        </is>
      </c>
    </row>
    <row r="59">
      <c r="A59" s="12" t="inlineStr">
        <is>
          <t>잡손실</t>
        </is>
      </c>
      <c r="B59" s="13" t="inlineStr">
        <is>
          <t>비용</t>
        </is>
      </c>
    </row>
    <row r="60">
      <c r="A60" s="10" t="n"/>
      <c r="B60" s="10" t="n"/>
    </row>
    <row r="61">
      <c r="A61" s="10" t="n"/>
      <c r="B61" s="10" t="n"/>
    </row>
    <row r="62">
      <c r="A62" s="10" t="n"/>
      <c r="B62" s="10" t="n"/>
    </row>
    <row r="63">
      <c r="A63" s="10" t="n"/>
      <c r="B63" s="10" t="n"/>
    </row>
    <row r="64">
      <c r="A64" s="10" t="n"/>
      <c r="B64" s="10" t="n"/>
    </row>
    <row r="65">
      <c r="A65" s="10" t="n"/>
      <c r="B65" s="10" t="n"/>
    </row>
    <row r="66">
      <c r="A66" s="10" t="n"/>
      <c r="B66" s="10" t="n"/>
    </row>
    <row r="67">
      <c r="A67" s="10" t="n"/>
      <c r="B67" s="10" t="n"/>
    </row>
    <row r="68">
      <c r="A68" s="10" t="n"/>
      <c r="B68" s="10" t="n"/>
    </row>
    <row r="69">
      <c r="A69" s="10" t="n"/>
      <c r="B69" s="10" t="n"/>
    </row>
    <row r="70">
      <c r="A70" s="10" t="n"/>
      <c r="B70" s="10" t="n"/>
    </row>
    <row r="71">
      <c r="A71" s="10" t="n"/>
      <c r="B71" s="10" t="n"/>
    </row>
    <row r="72">
      <c r="A72" s="10" t="n"/>
      <c r="B72" s="10" t="n"/>
    </row>
    <row r="73">
      <c r="A73" s="10" t="n"/>
      <c r="B73" s="10" t="n"/>
    </row>
    <row r="74">
      <c r="A74" s="10" t="n"/>
      <c r="B74" s="10" t="n"/>
    </row>
    <row r="75">
      <c r="A75" s="10" t="n"/>
      <c r="B75" s="10" t="n"/>
    </row>
    <row r="76">
      <c r="A76" s="10" t="n"/>
      <c r="B76" s="10" t="n"/>
    </row>
    <row r="77">
      <c r="A77" s="10" t="n"/>
      <c r="B77" s="10" t="n"/>
    </row>
    <row r="78">
      <c r="A78" s="10" t="n"/>
      <c r="B78" s="10" t="n"/>
    </row>
    <row r="79">
      <c r="A79" s="10" t="n"/>
      <c r="B79" s="10" t="n"/>
    </row>
    <row r="80">
      <c r="A80" s="10" t="n"/>
      <c r="B80" s="10" t="n"/>
    </row>
    <row r="81">
      <c r="A81" s="10" t="n"/>
      <c r="B81" s="10" t="n"/>
    </row>
    <row r="82">
      <c r="A82" s="10" t="n"/>
      <c r="B82" s="10" t="n"/>
    </row>
    <row r="83">
      <c r="A83" s="10" t="n"/>
      <c r="B83" s="10" t="n"/>
    </row>
    <row r="84">
      <c r="A84" s="10" t="n"/>
      <c r="B84" s="10" t="n"/>
    </row>
    <row r="85">
      <c r="A85" s="10" t="n"/>
      <c r="B85" s="10" t="n"/>
    </row>
    <row r="86">
      <c r="A86" s="10" t="n"/>
      <c r="B86" s="10" t="n"/>
    </row>
    <row r="87">
      <c r="A87" s="10" t="n"/>
      <c r="B87" s="10" t="n"/>
    </row>
    <row r="88">
      <c r="A88" s="10" t="n"/>
      <c r="B88" s="10" t="n"/>
    </row>
    <row r="89">
      <c r="A89" s="10" t="n"/>
      <c r="B89" s="10" t="n"/>
    </row>
    <row r="90">
      <c r="A90" s="10" t="n"/>
      <c r="B90" s="10" t="n"/>
    </row>
    <row r="91">
      <c r="A91" s="10" t="n"/>
      <c r="B91" s="10" t="n"/>
    </row>
    <row r="92">
      <c r="A92" s="10" t="n"/>
      <c r="B92" s="10" t="n"/>
    </row>
    <row r="93">
      <c r="A93" s="10" t="n"/>
      <c r="B93" s="10" t="n"/>
    </row>
    <row r="94">
      <c r="A94" s="10" t="n"/>
      <c r="B94" s="10" t="n"/>
    </row>
    <row r="95">
      <c r="A95" s="10" t="n"/>
      <c r="B95" s="10" t="n"/>
    </row>
    <row r="96">
      <c r="A96" s="10" t="n"/>
      <c r="B96" s="10" t="n"/>
    </row>
    <row r="97">
      <c r="A97" s="10" t="n"/>
      <c r="B97" s="10" t="n"/>
    </row>
    <row r="98">
      <c r="A98" s="10" t="n"/>
      <c r="B98" s="10" t="n"/>
    </row>
    <row r="99">
      <c r="A99" s="10" t="n"/>
      <c r="B99" s="10" t="n"/>
    </row>
    <row r="100">
      <c r="A100" s="10" t="n"/>
      <c r="B100" s="10" t="n"/>
    </row>
    <row r="101">
      <c r="A101" s="10" t="n"/>
      <c r="B101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46" customWidth="1" min="4" max="4"/>
  </cols>
  <sheetData>
    <row r="1">
      <c r="A1" s="4" t="inlineStr">
        <is>
          <t>결산 조정 입력 (확인 필요 대응)</t>
        </is>
      </c>
    </row>
    <row r="2">
      <c r="A2" s="5" t="inlineStr">
        <is>
          <t>■ [잔액검증]에서 '✖ 확인 필요'가 뜬 계정의 조정 전표를 입력하세요. 입력 즉시 전체 시트에 반영됩니다.</t>
        </is>
      </c>
    </row>
    <row r="3"/>
    <row r="4">
      <c r="A4" s="6" t="inlineStr">
        <is>
          <t>계정과목</t>
        </is>
      </c>
      <c r="B4" s="6" t="inlineStr">
        <is>
          <t>조정 차변</t>
        </is>
      </c>
      <c r="C4" s="6" t="inlineStr">
        <is>
          <t>조정 대변</t>
        </is>
      </c>
      <c r="D4" s="6" t="inlineStr">
        <is>
          <t>조정 사유</t>
        </is>
      </c>
    </row>
    <row r="5">
      <c r="A5" s="7" t="inlineStr">
        <is>
          <t>미지급금</t>
        </is>
      </c>
      <c r="B5" s="8" t="n"/>
      <c r="C5" s="8" t="n">
        <v>50000</v>
      </c>
      <c r="D5" s="7" t="inlineStr">
        <is>
          <t>법인카드 9월 사용분 미계상 (검증 불일치 → 조정)</t>
        </is>
      </c>
    </row>
    <row r="6">
      <c r="A6" s="10" t="n"/>
      <c r="B6" s="11" t="n"/>
      <c r="C6" s="11" t="n"/>
      <c r="D6" s="10" t="n"/>
    </row>
    <row r="7">
      <c r="A7" s="10" t="n"/>
      <c r="B7" s="11" t="n"/>
      <c r="C7" s="11" t="n"/>
      <c r="D7" s="10" t="n"/>
    </row>
    <row r="8">
      <c r="A8" s="10" t="n"/>
      <c r="B8" s="11" t="n"/>
      <c r="C8" s="11" t="n"/>
      <c r="D8" s="10" t="n"/>
    </row>
    <row r="9">
      <c r="A9" s="10" t="n"/>
      <c r="B9" s="11" t="n"/>
      <c r="C9" s="11" t="n"/>
      <c r="D9" s="10" t="n"/>
    </row>
    <row r="10">
      <c r="A10" s="10" t="n"/>
      <c r="B10" s="11" t="n"/>
      <c r="C10" s="11" t="n"/>
      <c r="D10" s="10" t="n"/>
    </row>
    <row r="11">
      <c r="A11" s="10" t="n"/>
      <c r="B11" s="11" t="n"/>
      <c r="C11" s="11" t="n"/>
      <c r="D11" s="10" t="n"/>
    </row>
    <row r="12">
      <c r="A12" s="10" t="n"/>
      <c r="B12" s="11" t="n"/>
      <c r="C12" s="11" t="n"/>
      <c r="D12" s="10" t="n"/>
    </row>
    <row r="13">
      <c r="A13" s="10" t="n"/>
      <c r="B13" s="11" t="n"/>
      <c r="C13" s="11" t="n"/>
      <c r="D13" s="10" t="n"/>
    </row>
    <row r="14">
      <c r="A14" s="10" t="n"/>
      <c r="B14" s="11" t="n"/>
      <c r="C14" s="11" t="n"/>
      <c r="D14" s="10" t="n"/>
    </row>
    <row r="15">
      <c r="A15" s="10" t="n"/>
      <c r="B15" s="11" t="n"/>
      <c r="C15" s="11" t="n"/>
      <c r="D15" s="10" t="n"/>
    </row>
    <row r="16">
      <c r="A16" s="10" t="n"/>
      <c r="B16" s="11" t="n"/>
      <c r="C16" s="11" t="n"/>
      <c r="D16" s="10" t="n"/>
    </row>
    <row r="17">
      <c r="A17" s="10" t="n"/>
      <c r="B17" s="11" t="n"/>
      <c r="C17" s="11" t="n"/>
      <c r="D17" s="10" t="n"/>
    </row>
    <row r="18">
      <c r="A18" s="10" t="n"/>
      <c r="B18" s="11" t="n"/>
      <c r="C18" s="11" t="n"/>
      <c r="D18" s="10" t="n"/>
    </row>
    <row r="19">
      <c r="A19" s="10" t="n"/>
      <c r="B19" s="11" t="n"/>
      <c r="C19" s="11" t="n"/>
      <c r="D19" s="10" t="n"/>
    </row>
    <row r="20">
      <c r="A20" s="10" t="n"/>
      <c r="B20" s="11" t="n"/>
      <c r="C20" s="11" t="n"/>
      <c r="D20" s="10" t="n"/>
    </row>
    <row r="21">
      <c r="A21" s="10" t="n"/>
      <c r="B21" s="11" t="n"/>
      <c r="C21" s="11" t="n"/>
      <c r="D21" s="10" t="n"/>
    </row>
    <row r="22">
      <c r="A22" s="10" t="n"/>
      <c r="B22" s="11" t="n"/>
      <c r="C22" s="11" t="n"/>
      <c r="D22" s="10" t="n"/>
    </row>
    <row r="23">
      <c r="A23" s="10" t="n"/>
      <c r="B23" s="11" t="n"/>
      <c r="C23" s="11" t="n"/>
      <c r="D23" s="10" t="n"/>
    </row>
    <row r="24">
      <c r="A24" s="10" t="n"/>
      <c r="B24" s="11" t="n"/>
      <c r="C24" s="11" t="n"/>
      <c r="D24" s="10" t="n"/>
    </row>
    <row r="25">
      <c r="A25" s="10" t="n"/>
      <c r="B25" s="11" t="n"/>
      <c r="C25" s="11" t="n"/>
      <c r="D25" s="10" t="n"/>
    </row>
    <row r="26">
      <c r="A26" s="10" t="n"/>
      <c r="B26" s="11" t="n"/>
      <c r="C26" s="11" t="n"/>
      <c r="D26" s="10" t="n"/>
    </row>
    <row r="27">
      <c r="A27" s="10" t="n"/>
      <c r="B27" s="11" t="n"/>
      <c r="C27" s="11" t="n"/>
      <c r="D27" s="10" t="n"/>
    </row>
    <row r="28">
      <c r="A28" s="10" t="n"/>
      <c r="B28" s="11" t="n"/>
      <c r="C28" s="11" t="n"/>
      <c r="D28" s="10" t="n"/>
    </row>
    <row r="29">
      <c r="A29" s="10" t="n"/>
      <c r="B29" s="11" t="n"/>
      <c r="C29" s="11" t="n"/>
      <c r="D29" s="10" t="n"/>
    </row>
    <row r="30">
      <c r="A30" s="10" t="n"/>
      <c r="B30" s="11" t="n"/>
      <c r="C30" s="11" t="n"/>
      <c r="D30" s="10" t="n"/>
    </row>
    <row r="31">
      <c r="A31" s="10" t="n"/>
      <c r="B31" s="11" t="n"/>
      <c r="C31" s="11" t="n"/>
      <c r="D31" s="10" t="n"/>
    </row>
    <row r="32">
      <c r="A32" s="10" t="n"/>
      <c r="B32" s="11" t="n"/>
      <c r="C32" s="11" t="n"/>
      <c r="D32" s="10" t="n"/>
    </row>
    <row r="33">
      <c r="A33" s="10" t="n"/>
      <c r="B33" s="11" t="n"/>
      <c r="C33" s="11" t="n"/>
      <c r="D33" s="10" t="n"/>
    </row>
    <row r="34">
      <c r="A34" s="10" t="n"/>
      <c r="B34" s="11" t="n"/>
      <c r="C34" s="11" t="n"/>
      <c r="D34" s="10" t="n"/>
    </row>
    <row r="35">
      <c r="A35" s="10" t="n"/>
      <c r="B35" s="11" t="n"/>
      <c r="C35" s="11" t="n"/>
      <c r="D35" s="10" t="n"/>
    </row>
    <row r="36">
      <c r="A36" s="10" t="n"/>
      <c r="B36" s="11" t="n"/>
      <c r="C36" s="11" t="n"/>
      <c r="D36" s="10" t="n"/>
    </row>
    <row r="37">
      <c r="A37" s="10" t="n"/>
      <c r="B37" s="11" t="n"/>
      <c r="C37" s="11" t="n"/>
      <c r="D37" s="10" t="n"/>
    </row>
    <row r="38">
      <c r="A38" s="10" t="n"/>
      <c r="B38" s="11" t="n"/>
      <c r="C38" s="11" t="n"/>
      <c r="D38" s="10" t="n"/>
    </row>
    <row r="39">
      <c r="A39" s="10" t="n"/>
      <c r="B39" s="11" t="n"/>
      <c r="C39" s="11" t="n"/>
      <c r="D39" s="10" t="n"/>
    </row>
    <row r="40">
      <c r="A40" s="10" t="n"/>
      <c r="B40" s="11" t="n"/>
      <c r="C40" s="11" t="n"/>
      <c r="D40" s="10" t="n"/>
    </row>
    <row r="41">
      <c r="A41" s="10" t="n"/>
      <c r="B41" s="11" t="n"/>
      <c r="C41" s="11" t="n"/>
      <c r="D41" s="10" t="n"/>
    </row>
    <row r="42">
      <c r="A42" s="10" t="n"/>
      <c r="B42" s="11" t="n"/>
      <c r="C42" s="11" t="n"/>
      <c r="D42" s="10" t="n"/>
    </row>
    <row r="43">
      <c r="A43" s="10" t="n"/>
      <c r="B43" s="11" t="n"/>
      <c r="C43" s="11" t="n"/>
      <c r="D43" s="10" t="n"/>
    </row>
    <row r="44">
      <c r="A44" s="10" t="n"/>
      <c r="B44" s="11" t="n"/>
      <c r="C44" s="11" t="n"/>
      <c r="D44" s="10" t="n"/>
    </row>
    <row r="45">
      <c r="A45" s="10" t="n"/>
      <c r="B45" s="11" t="n"/>
      <c r="C45" s="11" t="n"/>
      <c r="D45" s="10" t="n"/>
    </row>
    <row r="46">
      <c r="A46" s="10" t="n"/>
      <c r="B46" s="11" t="n"/>
      <c r="C46" s="11" t="n"/>
      <c r="D46" s="10" t="n"/>
    </row>
    <row r="47">
      <c r="A47" s="10" t="n"/>
      <c r="B47" s="11" t="n"/>
      <c r="C47" s="11" t="n"/>
      <c r="D47" s="10" t="n"/>
    </row>
    <row r="48">
      <c r="A48" s="10" t="n"/>
      <c r="B48" s="11" t="n"/>
      <c r="C48" s="11" t="n"/>
      <c r="D48" s="10" t="n"/>
    </row>
    <row r="49">
      <c r="A49" s="10" t="n"/>
      <c r="B49" s="11" t="n"/>
      <c r="C49" s="11" t="n"/>
      <c r="D49" s="10" t="n"/>
    </row>
    <row r="50">
      <c r="A50" s="10" t="n"/>
      <c r="B50" s="11" t="n"/>
      <c r="C50" s="11" t="n"/>
      <c r="D50" s="10" t="n"/>
    </row>
    <row r="51">
      <c r="A51" s="10" t="n"/>
      <c r="B51" s="11" t="n"/>
      <c r="C51" s="11" t="n"/>
      <c r="D51" s="10" t="n"/>
    </row>
    <row r="52">
      <c r="A52" s="10" t="n"/>
      <c r="B52" s="11" t="n"/>
      <c r="C52" s="11" t="n"/>
      <c r="D52" s="10" t="n"/>
    </row>
    <row r="53">
      <c r="A53" s="10" t="n"/>
      <c r="B53" s="11" t="n"/>
      <c r="C53" s="11" t="n"/>
      <c r="D53" s="10" t="n"/>
    </row>
    <row r="54">
      <c r="A54" s="10" t="n"/>
      <c r="B54" s="11" t="n"/>
      <c r="C54" s="11" t="n"/>
      <c r="D54" s="10" t="n"/>
    </row>
    <row r="55">
      <c r="A55" s="10" t="n"/>
      <c r="B55" s="11" t="n"/>
      <c r="C55" s="11" t="n"/>
      <c r="D55" s="10" t="n"/>
    </row>
    <row r="56">
      <c r="A56" s="10" t="n"/>
      <c r="B56" s="11" t="n"/>
      <c r="C56" s="11" t="n"/>
      <c r="D56" s="10" t="n"/>
    </row>
    <row r="57">
      <c r="A57" s="10" t="n"/>
      <c r="B57" s="11" t="n"/>
      <c r="C57" s="11" t="n"/>
      <c r="D57" s="10" t="n"/>
    </row>
    <row r="58">
      <c r="A58" s="10" t="n"/>
      <c r="B58" s="11" t="n"/>
      <c r="C58" s="11" t="n"/>
      <c r="D58" s="10" t="n"/>
    </row>
    <row r="59">
      <c r="A59" s="10" t="n"/>
      <c r="B59" s="11" t="n"/>
      <c r="C59" s="11" t="n"/>
      <c r="D59" s="10" t="n"/>
    </row>
    <row r="60">
      <c r="A60" s="10" t="n"/>
      <c r="B60" s="11" t="n"/>
      <c r="C60" s="11" t="n"/>
      <c r="D60" s="10" t="n"/>
    </row>
    <row r="61">
      <c r="A61" s="10" t="n"/>
      <c r="B61" s="11" t="n"/>
      <c r="C61" s="11" t="n"/>
      <c r="D61" s="10" t="n"/>
    </row>
    <row r="62">
      <c r="A62" s="10" t="n"/>
      <c r="B62" s="11" t="n"/>
      <c r="C62" s="11" t="n"/>
      <c r="D62" s="10" t="n"/>
    </row>
    <row r="63">
      <c r="A63" s="10" t="n"/>
      <c r="B63" s="11" t="n"/>
      <c r="C63" s="11" t="n"/>
      <c r="D63" s="10" t="n"/>
    </row>
    <row r="64">
      <c r="A64" s="10" t="n"/>
      <c r="B64" s="11" t="n"/>
      <c r="C64" s="11" t="n"/>
      <c r="D64" s="10" t="n"/>
    </row>
    <row r="65">
      <c r="A65" s="10" t="n"/>
      <c r="B65" s="11" t="n"/>
      <c r="C65" s="11" t="n"/>
      <c r="D65" s="10" t="n"/>
    </row>
    <row r="66">
      <c r="A66" s="10" t="n"/>
      <c r="B66" s="11" t="n"/>
      <c r="C66" s="11" t="n"/>
      <c r="D66" s="10" t="n"/>
    </row>
    <row r="67">
      <c r="A67" s="10" t="n"/>
      <c r="B67" s="11" t="n"/>
      <c r="C67" s="11" t="n"/>
      <c r="D67" s="10" t="n"/>
    </row>
    <row r="68">
      <c r="A68" s="10" t="n"/>
      <c r="B68" s="11" t="n"/>
      <c r="C68" s="11" t="n"/>
      <c r="D68" s="10" t="n"/>
    </row>
    <row r="69">
      <c r="A69" s="10" t="n"/>
      <c r="B69" s="11" t="n"/>
      <c r="C69" s="11" t="n"/>
      <c r="D69" s="10" t="n"/>
    </row>
    <row r="70">
      <c r="A70" s="10" t="n"/>
      <c r="B70" s="11" t="n"/>
      <c r="C70" s="11" t="n"/>
      <c r="D70" s="10" t="n"/>
    </row>
    <row r="71">
      <c r="A71" s="10" t="n"/>
      <c r="B71" s="11" t="n"/>
      <c r="C71" s="11" t="n"/>
      <c r="D71" s="10" t="n"/>
    </row>
    <row r="72">
      <c r="A72" s="10" t="n"/>
      <c r="B72" s="11" t="n"/>
      <c r="C72" s="11" t="n"/>
      <c r="D72" s="10" t="n"/>
    </row>
    <row r="73">
      <c r="A73" s="10" t="n"/>
      <c r="B73" s="11" t="n"/>
      <c r="C73" s="11" t="n"/>
      <c r="D73" s="10" t="n"/>
    </row>
    <row r="74">
      <c r="A74" s="10" t="n"/>
      <c r="B74" s="11" t="n"/>
      <c r="C74" s="11" t="n"/>
      <c r="D74" s="10" t="n"/>
    </row>
    <row r="75">
      <c r="A75" s="10" t="n"/>
      <c r="B75" s="11" t="n"/>
      <c r="C75" s="11" t="n"/>
      <c r="D75" s="10" t="n"/>
    </row>
    <row r="76">
      <c r="A76" s="10" t="n"/>
      <c r="B76" s="11" t="n"/>
      <c r="C76" s="11" t="n"/>
      <c r="D76" s="10" t="n"/>
    </row>
    <row r="77">
      <c r="A77" s="10" t="n"/>
      <c r="B77" s="11" t="n"/>
      <c r="C77" s="11" t="n"/>
      <c r="D77" s="10" t="n"/>
    </row>
    <row r="78">
      <c r="A78" s="10" t="n"/>
      <c r="B78" s="11" t="n"/>
      <c r="C78" s="11" t="n"/>
      <c r="D78" s="10" t="n"/>
    </row>
    <row r="79">
      <c r="A79" s="10" t="n"/>
      <c r="B79" s="11" t="n"/>
      <c r="C79" s="11" t="n"/>
      <c r="D79" s="10" t="n"/>
    </row>
    <row r="80">
      <c r="A80" s="10" t="n"/>
      <c r="B80" s="11" t="n"/>
      <c r="C80" s="11" t="n"/>
      <c r="D80" s="10" t="n"/>
    </row>
    <row r="81">
      <c r="A81" s="10" t="n"/>
      <c r="B81" s="11" t="n"/>
      <c r="C81" s="11" t="n"/>
      <c r="D81" s="10" t="n"/>
    </row>
    <row r="82">
      <c r="A82" s="10" t="n"/>
      <c r="B82" s="11" t="n"/>
      <c r="C82" s="11" t="n"/>
      <c r="D82" s="10" t="n"/>
    </row>
    <row r="83">
      <c r="A83" s="10" t="n"/>
      <c r="B83" s="11" t="n"/>
      <c r="C83" s="11" t="n"/>
      <c r="D83" s="10" t="n"/>
    </row>
    <row r="84">
      <c r="A84" s="10" t="n"/>
      <c r="B84" s="11" t="n"/>
      <c r="C84" s="11" t="n"/>
      <c r="D84" s="10" t="n"/>
    </row>
    <row r="85">
      <c r="A85" s="10" t="n"/>
      <c r="B85" s="11" t="n"/>
      <c r="C85" s="11" t="n"/>
      <c r="D85" s="10" t="n"/>
    </row>
    <row r="86">
      <c r="A86" s="10" t="n"/>
      <c r="B86" s="11" t="n"/>
      <c r="C86" s="11" t="n"/>
      <c r="D86" s="10" t="n"/>
    </row>
    <row r="87">
      <c r="A87" s="10" t="n"/>
      <c r="B87" s="11" t="n"/>
      <c r="C87" s="11" t="n"/>
      <c r="D87" s="10" t="n"/>
    </row>
    <row r="88">
      <c r="A88" s="10" t="n"/>
      <c r="B88" s="11" t="n"/>
      <c r="C88" s="11" t="n"/>
      <c r="D88" s="10" t="n"/>
    </row>
    <row r="89">
      <c r="A89" s="10" t="n"/>
      <c r="B89" s="11" t="n"/>
      <c r="C89" s="11" t="n"/>
      <c r="D89" s="10" t="n"/>
    </row>
    <row r="90">
      <c r="A90" s="10" t="n"/>
      <c r="B90" s="11" t="n"/>
      <c r="C90" s="11" t="n"/>
      <c r="D90" s="10" t="n"/>
    </row>
    <row r="91">
      <c r="A91" s="10" t="n"/>
      <c r="B91" s="11" t="n"/>
      <c r="C91" s="11" t="n"/>
      <c r="D91" s="10" t="n"/>
    </row>
    <row r="92">
      <c r="A92" s="10" t="n"/>
      <c r="B92" s="11" t="n"/>
      <c r="C92" s="11" t="n"/>
      <c r="D92" s="10" t="n"/>
    </row>
    <row r="93">
      <c r="A93" s="10" t="n"/>
      <c r="B93" s="11" t="n"/>
      <c r="C93" s="11" t="n"/>
      <c r="D93" s="10" t="n"/>
    </row>
    <row r="94">
      <c r="A94" s="10" t="n"/>
      <c r="B94" s="11" t="n"/>
      <c r="C94" s="11" t="n"/>
      <c r="D94" s="10" t="n"/>
    </row>
    <row r="95">
      <c r="A95" s="10" t="n"/>
      <c r="B95" s="11" t="n"/>
      <c r="C95" s="11" t="n"/>
      <c r="D95" s="10" t="n"/>
    </row>
    <row r="96">
      <c r="A96" s="10" t="n"/>
      <c r="B96" s="11" t="n"/>
      <c r="C96" s="11" t="n"/>
      <c r="D96" s="10" t="n"/>
    </row>
    <row r="97">
      <c r="A97" s="10" t="n"/>
      <c r="B97" s="11" t="n"/>
      <c r="C97" s="11" t="n"/>
      <c r="D97" s="10" t="n"/>
    </row>
    <row r="98">
      <c r="A98" s="10" t="n"/>
      <c r="B98" s="11" t="n"/>
      <c r="C98" s="11" t="n"/>
      <c r="D98" s="10" t="n"/>
    </row>
    <row r="99">
      <c r="A99" s="10" t="n"/>
      <c r="B99" s="11" t="n"/>
      <c r="C99" s="11" t="n"/>
      <c r="D99" s="10" t="n"/>
    </row>
    <row r="100">
      <c r="A100" s="10" t="n"/>
      <c r="B100" s="11" t="n"/>
      <c r="C100" s="11" t="n"/>
      <c r="D100" s="10" t="n"/>
    </row>
    <row r="101">
      <c r="A101" s="10" t="n"/>
      <c r="B101" s="11" t="n"/>
      <c r="C101" s="11" t="n"/>
      <c r="D101" s="10" t="n"/>
    </row>
    <row r="102">
      <c r="A102" s="10" t="n"/>
      <c r="B102" s="11" t="n"/>
      <c r="C102" s="11" t="n"/>
      <c r="D102" s="10" t="n"/>
    </row>
    <row r="103">
      <c r="A103" s="10" t="n"/>
      <c r="B103" s="11" t="n"/>
      <c r="C103" s="11" t="n"/>
      <c r="D103" s="10" t="n"/>
    </row>
    <row r="104">
      <c r="A104" s="10" t="n"/>
      <c r="B104" s="11" t="n"/>
      <c r="C104" s="11" t="n"/>
      <c r="D104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5" customWidth="1" min="3" max="3"/>
    <col width="15" customWidth="1" min="4" max="4"/>
    <col width="13" customWidth="1" min="5" max="5"/>
    <col width="13" customWidth="1" min="6" max="6"/>
    <col width="15" customWidth="1" min="7" max="7"/>
    <col width="20" customWidth="1" min="8" max="8"/>
  </cols>
  <sheetData>
    <row r="1">
      <c r="A1" s="4" t="inlineStr">
        <is>
          <t>결산명세서 — 계정과목 자동 추출 · 원장/조정 자동 집계</t>
        </is>
      </c>
    </row>
    <row r="2">
      <c r="A2" s="5" t="inlineStr">
        <is>
          <t>■ 전부 자동입니다 (입력 없음). 원장에 나온 계정이 등장 순서대로 채워집니다. 구분이 '미분류'면 [계정분류]에 추가하세요.</t>
        </is>
      </c>
    </row>
    <row r="3"/>
    <row r="4">
      <c r="A4" s="6" t="inlineStr">
        <is>
          <t>구분</t>
        </is>
      </c>
      <c r="B4" s="6" t="inlineStr">
        <is>
          <t>계정과목</t>
        </is>
      </c>
      <c r="C4" s="6" t="inlineStr">
        <is>
          <t>원장 차변합계</t>
        </is>
      </c>
      <c r="D4" s="6" t="inlineStr">
        <is>
          <t>원장 대변합계</t>
        </is>
      </c>
      <c r="E4" s="6" t="inlineStr">
        <is>
          <t>조정 차변</t>
        </is>
      </c>
      <c r="F4" s="6" t="inlineStr">
        <is>
          <t>조정 대변</t>
        </is>
      </c>
      <c r="G4" s="6" t="inlineStr">
        <is>
          <t>당월 잔액</t>
        </is>
      </c>
      <c r="H4" s="6" t="inlineStr">
        <is>
          <t>비고</t>
        </is>
      </c>
    </row>
    <row r="5">
      <c r="A5" s="13">
        <f>IF($B5="","",IFERROR(INDEX(계정분류!$B$5:$B$101,MATCH($B5,계정분류!$A$5:$A$101,0)),"미분류"))</f>
        <v/>
      </c>
      <c r="B5" s="12">
        <f>IFERROR(INDEX(원장입력!$B$5:$B$204,MATCH(ROW()-4,원장입력!$H$5:$H$204,0)),"")</f>
        <v/>
      </c>
      <c r="C5" s="14">
        <f>IF($B5="","",SUMIFS(원장입력!$E$5:$E$204,원장입력!$B$5:$B$204,$B5))</f>
        <v/>
      </c>
      <c r="D5" s="14">
        <f>IF($B5="","",SUMIFS(원장입력!$F$5:$F$204,원장입력!$B$5:$B$204,$B5))</f>
        <v/>
      </c>
      <c r="E5" s="14">
        <f>IF($B5="","",SUMIFS(결산조정!$B$5:$B$104,결산조정!$A$5:$A$104,$B5))</f>
        <v/>
      </c>
      <c r="F5" s="14">
        <f>IF($B5="","",SUMIFS(결산조정!$C$5:$C$104,결산조정!$A$5:$A$104,$B5))</f>
        <v/>
      </c>
      <c r="G5" s="14">
        <f>IF($B5="","",IF(OR($A5="자산",$A5="비용"),C5-D5+E5-F5,D5-C5+F5-E5))</f>
        <v/>
      </c>
      <c r="H5" s="15" t="n"/>
    </row>
    <row r="6">
      <c r="A6" s="13">
        <f>IF($B6="","",IFERROR(INDEX(계정분류!$B$5:$B$101,MATCH($B6,계정분류!$A$5:$A$101,0)),"미분류"))</f>
        <v/>
      </c>
      <c r="B6" s="12">
        <f>IFERROR(INDEX(원장입력!$B$5:$B$204,MATCH(ROW()-4,원장입력!$H$5:$H$204,0)),"")</f>
        <v/>
      </c>
      <c r="C6" s="14">
        <f>IF($B6="","",SUMIFS(원장입력!$E$5:$E$204,원장입력!$B$5:$B$204,$B6))</f>
        <v/>
      </c>
      <c r="D6" s="14">
        <f>IF($B6="","",SUMIFS(원장입력!$F$5:$F$204,원장입력!$B$5:$B$204,$B6))</f>
        <v/>
      </c>
      <c r="E6" s="14">
        <f>IF($B6="","",SUMIFS(결산조정!$B$5:$B$104,결산조정!$A$5:$A$104,$B6))</f>
        <v/>
      </c>
      <c r="F6" s="14">
        <f>IF($B6="","",SUMIFS(결산조정!$C$5:$C$104,결산조정!$A$5:$A$104,$B6))</f>
        <v/>
      </c>
      <c r="G6" s="14">
        <f>IF($B6="","",IF(OR($A6="자산",$A6="비용"),C6-D6+E6-F6,D6-C6+F6-E6))</f>
        <v/>
      </c>
      <c r="H6" s="15" t="n"/>
    </row>
    <row r="7">
      <c r="A7" s="13">
        <f>IF($B7="","",IFERROR(INDEX(계정분류!$B$5:$B$101,MATCH($B7,계정분류!$A$5:$A$101,0)),"미분류"))</f>
        <v/>
      </c>
      <c r="B7" s="12">
        <f>IFERROR(INDEX(원장입력!$B$5:$B$204,MATCH(ROW()-4,원장입력!$H$5:$H$204,0)),"")</f>
        <v/>
      </c>
      <c r="C7" s="14">
        <f>IF($B7="","",SUMIFS(원장입력!$E$5:$E$204,원장입력!$B$5:$B$204,$B7))</f>
        <v/>
      </c>
      <c r="D7" s="14">
        <f>IF($B7="","",SUMIFS(원장입력!$F$5:$F$204,원장입력!$B$5:$B$204,$B7))</f>
        <v/>
      </c>
      <c r="E7" s="14">
        <f>IF($B7="","",SUMIFS(결산조정!$B$5:$B$104,결산조정!$A$5:$A$104,$B7))</f>
        <v/>
      </c>
      <c r="F7" s="14">
        <f>IF($B7="","",SUMIFS(결산조정!$C$5:$C$104,결산조정!$A$5:$A$104,$B7))</f>
        <v/>
      </c>
      <c r="G7" s="14">
        <f>IF($B7="","",IF(OR($A7="자산",$A7="비용"),C7-D7+E7-F7,D7-C7+F7-E7))</f>
        <v/>
      </c>
      <c r="H7" s="15" t="n"/>
    </row>
    <row r="8">
      <c r="A8" s="13">
        <f>IF($B8="","",IFERROR(INDEX(계정분류!$B$5:$B$101,MATCH($B8,계정분류!$A$5:$A$101,0)),"미분류"))</f>
        <v/>
      </c>
      <c r="B8" s="12">
        <f>IFERROR(INDEX(원장입력!$B$5:$B$204,MATCH(ROW()-4,원장입력!$H$5:$H$204,0)),"")</f>
        <v/>
      </c>
      <c r="C8" s="14">
        <f>IF($B8="","",SUMIFS(원장입력!$E$5:$E$204,원장입력!$B$5:$B$204,$B8))</f>
        <v/>
      </c>
      <c r="D8" s="14">
        <f>IF($B8="","",SUMIFS(원장입력!$F$5:$F$204,원장입력!$B$5:$B$204,$B8))</f>
        <v/>
      </c>
      <c r="E8" s="14">
        <f>IF($B8="","",SUMIFS(결산조정!$B$5:$B$104,결산조정!$A$5:$A$104,$B8))</f>
        <v/>
      </c>
      <c r="F8" s="14">
        <f>IF($B8="","",SUMIFS(결산조정!$C$5:$C$104,결산조정!$A$5:$A$104,$B8))</f>
        <v/>
      </c>
      <c r="G8" s="14">
        <f>IF($B8="","",IF(OR($A8="자산",$A8="비용"),C8-D8+E8-F8,D8-C8+F8-E8))</f>
        <v/>
      </c>
      <c r="H8" s="15" t="n"/>
    </row>
    <row r="9">
      <c r="A9" s="13">
        <f>IF($B9="","",IFERROR(INDEX(계정분류!$B$5:$B$101,MATCH($B9,계정분류!$A$5:$A$101,0)),"미분류"))</f>
        <v/>
      </c>
      <c r="B9" s="12">
        <f>IFERROR(INDEX(원장입력!$B$5:$B$204,MATCH(ROW()-4,원장입력!$H$5:$H$204,0)),"")</f>
        <v/>
      </c>
      <c r="C9" s="14">
        <f>IF($B9="","",SUMIFS(원장입력!$E$5:$E$204,원장입력!$B$5:$B$204,$B9))</f>
        <v/>
      </c>
      <c r="D9" s="14">
        <f>IF($B9="","",SUMIFS(원장입력!$F$5:$F$204,원장입력!$B$5:$B$204,$B9))</f>
        <v/>
      </c>
      <c r="E9" s="14">
        <f>IF($B9="","",SUMIFS(결산조정!$B$5:$B$104,결산조정!$A$5:$A$104,$B9))</f>
        <v/>
      </c>
      <c r="F9" s="14">
        <f>IF($B9="","",SUMIFS(결산조정!$C$5:$C$104,결산조정!$A$5:$A$104,$B9))</f>
        <v/>
      </c>
      <c r="G9" s="14">
        <f>IF($B9="","",IF(OR($A9="자산",$A9="비용"),C9-D9+E9-F9,D9-C9+F9-E9))</f>
        <v/>
      </c>
      <c r="H9" s="15" t="n"/>
    </row>
    <row r="10">
      <c r="A10" s="13">
        <f>IF($B10="","",IFERROR(INDEX(계정분류!$B$5:$B$101,MATCH($B10,계정분류!$A$5:$A$101,0)),"미분류"))</f>
        <v/>
      </c>
      <c r="B10" s="12">
        <f>IFERROR(INDEX(원장입력!$B$5:$B$204,MATCH(ROW()-4,원장입력!$H$5:$H$204,0)),"")</f>
        <v/>
      </c>
      <c r="C10" s="14">
        <f>IF($B10="","",SUMIFS(원장입력!$E$5:$E$204,원장입력!$B$5:$B$204,$B10))</f>
        <v/>
      </c>
      <c r="D10" s="14">
        <f>IF($B10="","",SUMIFS(원장입력!$F$5:$F$204,원장입력!$B$5:$B$204,$B10))</f>
        <v/>
      </c>
      <c r="E10" s="14">
        <f>IF($B10="","",SUMIFS(결산조정!$B$5:$B$104,결산조정!$A$5:$A$104,$B10))</f>
        <v/>
      </c>
      <c r="F10" s="14">
        <f>IF($B10="","",SUMIFS(결산조정!$C$5:$C$104,결산조정!$A$5:$A$104,$B10))</f>
        <v/>
      </c>
      <c r="G10" s="14">
        <f>IF($B10="","",IF(OR($A10="자산",$A10="비용"),C10-D10+E10-F10,D10-C10+F10-E10))</f>
        <v/>
      </c>
      <c r="H10" s="15" t="n"/>
    </row>
    <row r="11">
      <c r="A11" s="13">
        <f>IF($B11="","",IFERROR(INDEX(계정분류!$B$5:$B$101,MATCH($B11,계정분류!$A$5:$A$101,0)),"미분류"))</f>
        <v/>
      </c>
      <c r="B11" s="12">
        <f>IFERROR(INDEX(원장입력!$B$5:$B$204,MATCH(ROW()-4,원장입력!$H$5:$H$204,0)),"")</f>
        <v/>
      </c>
      <c r="C11" s="14">
        <f>IF($B11="","",SUMIFS(원장입력!$E$5:$E$204,원장입력!$B$5:$B$204,$B11))</f>
        <v/>
      </c>
      <c r="D11" s="14">
        <f>IF($B11="","",SUMIFS(원장입력!$F$5:$F$204,원장입력!$B$5:$B$204,$B11))</f>
        <v/>
      </c>
      <c r="E11" s="14">
        <f>IF($B11="","",SUMIFS(결산조정!$B$5:$B$104,결산조정!$A$5:$A$104,$B11))</f>
        <v/>
      </c>
      <c r="F11" s="14">
        <f>IF($B11="","",SUMIFS(결산조정!$C$5:$C$104,결산조정!$A$5:$A$104,$B11))</f>
        <v/>
      </c>
      <c r="G11" s="14">
        <f>IF($B11="","",IF(OR($A11="자산",$A11="비용"),C11-D11+E11-F11,D11-C11+F11-E11))</f>
        <v/>
      </c>
      <c r="H11" s="15" t="n"/>
    </row>
    <row r="12">
      <c r="A12" s="13">
        <f>IF($B12="","",IFERROR(INDEX(계정분류!$B$5:$B$101,MATCH($B12,계정분류!$A$5:$A$101,0)),"미분류"))</f>
        <v/>
      </c>
      <c r="B12" s="12">
        <f>IFERROR(INDEX(원장입력!$B$5:$B$204,MATCH(ROW()-4,원장입력!$H$5:$H$204,0)),"")</f>
        <v/>
      </c>
      <c r="C12" s="14">
        <f>IF($B12="","",SUMIFS(원장입력!$E$5:$E$204,원장입력!$B$5:$B$204,$B12))</f>
        <v/>
      </c>
      <c r="D12" s="14">
        <f>IF($B12="","",SUMIFS(원장입력!$F$5:$F$204,원장입력!$B$5:$B$204,$B12))</f>
        <v/>
      </c>
      <c r="E12" s="14">
        <f>IF($B12="","",SUMIFS(결산조정!$B$5:$B$104,결산조정!$A$5:$A$104,$B12))</f>
        <v/>
      </c>
      <c r="F12" s="14">
        <f>IF($B12="","",SUMIFS(결산조정!$C$5:$C$104,결산조정!$A$5:$A$104,$B12))</f>
        <v/>
      </c>
      <c r="G12" s="14">
        <f>IF($B12="","",IF(OR($A12="자산",$A12="비용"),C12-D12+E12-F12,D12-C12+F12-E12))</f>
        <v/>
      </c>
      <c r="H12" s="15" t="n"/>
    </row>
    <row r="13">
      <c r="A13" s="13">
        <f>IF($B13="","",IFERROR(INDEX(계정분류!$B$5:$B$101,MATCH($B13,계정분류!$A$5:$A$101,0)),"미분류"))</f>
        <v/>
      </c>
      <c r="B13" s="12">
        <f>IFERROR(INDEX(원장입력!$B$5:$B$204,MATCH(ROW()-4,원장입력!$H$5:$H$204,0)),"")</f>
        <v/>
      </c>
      <c r="C13" s="14">
        <f>IF($B13="","",SUMIFS(원장입력!$E$5:$E$204,원장입력!$B$5:$B$204,$B13))</f>
        <v/>
      </c>
      <c r="D13" s="14">
        <f>IF($B13="","",SUMIFS(원장입력!$F$5:$F$204,원장입력!$B$5:$B$204,$B13))</f>
        <v/>
      </c>
      <c r="E13" s="14">
        <f>IF($B13="","",SUMIFS(결산조정!$B$5:$B$104,결산조정!$A$5:$A$104,$B13))</f>
        <v/>
      </c>
      <c r="F13" s="14">
        <f>IF($B13="","",SUMIFS(결산조정!$C$5:$C$104,결산조정!$A$5:$A$104,$B13))</f>
        <v/>
      </c>
      <c r="G13" s="14">
        <f>IF($B13="","",IF(OR($A13="자산",$A13="비용"),C13-D13+E13-F13,D13-C13+F13-E13))</f>
        <v/>
      </c>
      <c r="H13" s="15" t="n"/>
    </row>
    <row r="14">
      <c r="A14" s="13">
        <f>IF($B14="","",IFERROR(INDEX(계정분류!$B$5:$B$101,MATCH($B14,계정분류!$A$5:$A$101,0)),"미분류"))</f>
        <v/>
      </c>
      <c r="B14" s="12">
        <f>IFERROR(INDEX(원장입력!$B$5:$B$204,MATCH(ROW()-4,원장입력!$H$5:$H$204,0)),"")</f>
        <v/>
      </c>
      <c r="C14" s="14">
        <f>IF($B14="","",SUMIFS(원장입력!$E$5:$E$204,원장입력!$B$5:$B$204,$B14))</f>
        <v/>
      </c>
      <c r="D14" s="14">
        <f>IF($B14="","",SUMIFS(원장입력!$F$5:$F$204,원장입력!$B$5:$B$204,$B14))</f>
        <v/>
      </c>
      <c r="E14" s="14">
        <f>IF($B14="","",SUMIFS(결산조정!$B$5:$B$104,결산조정!$A$5:$A$104,$B14))</f>
        <v/>
      </c>
      <c r="F14" s="14">
        <f>IF($B14="","",SUMIFS(결산조정!$C$5:$C$104,결산조정!$A$5:$A$104,$B14))</f>
        <v/>
      </c>
      <c r="G14" s="14">
        <f>IF($B14="","",IF(OR($A14="자산",$A14="비용"),C14-D14+E14-F14,D14-C14+F14-E14))</f>
        <v/>
      </c>
      <c r="H14" s="15" t="n"/>
    </row>
    <row r="15">
      <c r="A15" s="13">
        <f>IF($B15="","",IFERROR(INDEX(계정분류!$B$5:$B$101,MATCH($B15,계정분류!$A$5:$A$101,0)),"미분류"))</f>
        <v/>
      </c>
      <c r="B15" s="12">
        <f>IFERROR(INDEX(원장입력!$B$5:$B$204,MATCH(ROW()-4,원장입력!$H$5:$H$204,0)),"")</f>
        <v/>
      </c>
      <c r="C15" s="14">
        <f>IF($B15="","",SUMIFS(원장입력!$E$5:$E$204,원장입력!$B$5:$B$204,$B15))</f>
        <v/>
      </c>
      <c r="D15" s="14">
        <f>IF($B15="","",SUMIFS(원장입력!$F$5:$F$204,원장입력!$B$5:$B$204,$B15))</f>
        <v/>
      </c>
      <c r="E15" s="14">
        <f>IF($B15="","",SUMIFS(결산조정!$B$5:$B$104,결산조정!$A$5:$A$104,$B15))</f>
        <v/>
      </c>
      <c r="F15" s="14">
        <f>IF($B15="","",SUMIFS(결산조정!$C$5:$C$104,결산조정!$A$5:$A$104,$B15))</f>
        <v/>
      </c>
      <c r="G15" s="14">
        <f>IF($B15="","",IF(OR($A15="자산",$A15="비용"),C15-D15+E15-F15,D15-C15+F15-E15))</f>
        <v/>
      </c>
      <c r="H15" s="15" t="n"/>
    </row>
    <row r="16">
      <c r="A16" s="13">
        <f>IF($B16="","",IFERROR(INDEX(계정분류!$B$5:$B$101,MATCH($B16,계정분류!$A$5:$A$101,0)),"미분류"))</f>
        <v/>
      </c>
      <c r="B16" s="12">
        <f>IFERROR(INDEX(원장입력!$B$5:$B$204,MATCH(ROW()-4,원장입력!$H$5:$H$204,0)),"")</f>
        <v/>
      </c>
      <c r="C16" s="14">
        <f>IF($B16="","",SUMIFS(원장입력!$E$5:$E$204,원장입력!$B$5:$B$204,$B16))</f>
        <v/>
      </c>
      <c r="D16" s="14">
        <f>IF($B16="","",SUMIFS(원장입력!$F$5:$F$204,원장입력!$B$5:$B$204,$B16))</f>
        <v/>
      </c>
      <c r="E16" s="14">
        <f>IF($B16="","",SUMIFS(결산조정!$B$5:$B$104,결산조정!$A$5:$A$104,$B16))</f>
        <v/>
      </c>
      <c r="F16" s="14">
        <f>IF($B16="","",SUMIFS(결산조정!$C$5:$C$104,결산조정!$A$5:$A$104,$B16))</f>
        <v/>
      </c>
      <c r="G16" s="14">
        <f>IF($B16="","",IF(OR($A16="자산",$A16="비용"),C16-D16+E16-F16,D16-C16+F16-E16))</f>
        <v/>
      </c>
      <c r="H16" s="15" t="n"/>
    </row>
    <row r="17">
      <c r="A17" s="13">
        <f>IF($B17="","",IFERROR(INDEX(계정분류!$B$5:$B$101,MATCH($B17,계정분류!$A$5:$A$101,0)),"미분류"))</f>
        <v/>
      </c>
      <c r="B17" s="12">
        <f>IFERROR(INDEX(원장입력!$B$5:$B$204,MATCH(ROW()-4,원장입력!$H$5:$H$204,0)),"")</f>
        <v/>
      </c>
      <c r="C17" s="14">
        <f>IF($B17="","",SUMIFS(원장입력!$E$5:$E$204,원장입력!$B$5:$B$204,$B17))</f>
        <v/>
      </c>
      <c r="D17" s="14">
        <f>IF($B17="","",SUMIFS(원장입력!$F$5:$F$204,원장입력!$B$5:$B$204,$B17))</f>
        <v/>
      </c>
      <c r="E17" s="14">
        <f>IF($B17="","",SUMIFS(결산조정!$B$5:$B$104,결산조정!$A$5:$A$104,$B17))</f>
        <v/>
      </c>
      <c r="F17" s="14">
        <f>IF($B17="","",SUMIFS(결산조정!$C$5:$C$104,결산조정!$A$5:$A$104,$B17))</f>
        <v/>
      </c>
      <c r="G17" s="14">
        <f>IF($B17="","",IF(OR($A17="자산",$A17="비용"),C17-D17+E17-F17,D17-C17+F17-E17))</f>
        <v/>
      </c>
      <c r="H17" s="15" t="n"/>
    </row>
    <row r="18">
      <c r="A18" s="13">
        <f>IF($B18="","",IFERROR(INDEX(계정분류!$B$5:$B$101,MATCH($B18,계정분류!$A$5:$A$101,0)),"미분류"))</f>
        <v/>
      </c>
      <c r="B18" s="12">
        <f>IFERROR(INDEX(원장입력!$B$5:$B$204,MATCH(ROW()-4,원장입력!$H$5:$H$204,0)),"")</f>
        <v/>
      </c>
      <c r="C18" s="14">
        <f>IF($B18="","",SUMIFS(원장입력!$E$5:$E$204,원장입력!$B$5:$B$204,$B18))</f>
        <v/>
      </c>
      <c r="D18" s="14">
        <f>IF($B18="","",SUMIFS(원장입력!$F$5:$F$204,원장입력!$B$5:$B$204,$B18))</f>
        <v/>
      </c>
      <c r="E18" s="14">
        <f>IF($B18="","",SUMIFS(결산조정!$B$5:$B$104,결산조정!$A$5:$A$104,$B18))</f>
        <v/>
      </c>
      <c r="F18" s="14">
        <f>IF($B18="","",SUMIFS(결산조정!$C$5:$C$104,결산조정!$A$5:$A$104,$B18))</f>
        <v/>
      </c>
      <c r="G18" s="14">
        <f>IF($B18="","",IF(OR($A18="자산",$A18="비용"),C18-D18+E18-F18,D18-C18+F18-E18))</f>
        <v/>
      </c>
      <c r="H18" s="15" t="n"/>
    </row>
    <row r="19">
      <c r="A19" s="13">
        <f>IF($B19="","",IFERROR(INDEX(계정분류!$B$5:$B$101,MATCH($B19,계정분류!$A$5:$A$101,0)),"미분류"))</f>
        <v/>
      </c>
      <c r="B19" s="12">
        <f>IFERROR(INDEX(원장입력!$B$5:$B$204,MATCH(ROW()-4,원장입력!$H$5:$H$204,0)),"")</f>
        <v/>
      </c>
      <c r="C19" s="14">
        <f>IF($B19="","",SUMIFS(원장입력!$E$5:$E$204,원장입력!$B$5:$B$204,$B19))</f>
        <v/>
      </c>
      <c r="D19" s="14">
        <f>IF($B19="","",SUMIFS(원장입력!$F$5:$F$204,원장입력!$B$5:$B$204,$B19))</f>
        <v/>
      </c>
      <c r="E19" s="14">
        <f>IF($B19="","",SUMIFS(결산조정!$B$5:$B$104,결산조정!$A$5:$A$104,$B19))</f>
        <v/>
      </c>
      <c r="F19" s="14">
        <f>IF($B19="","",SUMIFS(결산조정!$C$5:$C$104,결산조정!$A$5:$A$104,$B19))</f>
        <v/>
      </c>
      <c r="G19" s="14">
        <f>IF($B19="","",IF(OR($A19="자산",$A19="비용"),C19-D19+E19-F19,D19-C19+F19-E19))</f>
        <v/>
      </c>
      <c r="H19" s="15" t="n"/>
    </row>
    <row r="20">
      <c r="A20" s="13">
        <f>IF($B20="","",IFERROR(INDEX(계정분류!$B$5:$B$101,MATCH($B20,계정분류!$A$5:$A$101,0)),"미분류"))</f>
        <v/>
      </c>
      <c r="B20" s="12">
        <f>IFERROR(INDEX(원장입력!$B$5:$B$204,MATCH(ROW()-4,원장입력!$H$5:$H$204,0)),"")</f>
        <v/>
      </c>
      <c r="C20" s="14">
        <f>IF($B20="","",SUMIFS(원장입력!$E$5:$E$204,원장입력!$B$5:$B$204,$B20))</f>
        <v/>
      </c>
      <c r="D20" s="14">
        <f>IF($B20="","",SUMIFS(원장입력!$F$5:$F$204,원장입력!$B$5:$B$204,$B20))</f>
        <v/>
      </c>
      <c r="E20" s="14">
        <f>IF($B20="","",SUMIFS(결산조정!$B$5:$B$104,결산조정!$A$5:$A$104,$B20))</f>
        <v/>
      </c>
      <c r="F20" s="14">
        <f>IF($B20="","",SUMIFS(결산조정!$C$5:$C$104,결산조정!$A$5:$A$104,$B20))</f>
        <v/>
      </c>
      <c r="G20" s="14">
        <f>IF($B20="","",IF(OR($A20="자산",$A20="비용"),C20-D20+E20-F20,D20-C20+F20-E20))</f>
        <v/>
      </c>
      <c r="H20" s="15" t="n"/>
    </row>
    <row r="21">
      <c r="A21" s="13">
        <f>IF($B21="","",IFERROR(INDEX(계정분류!$B$5:$B$101,MATCH($B21,계정분류!$A$5:$A$101,0)),"미분류"))</f>
        <v/>
      </c>
      <c r="B21" s="12">
        <f>IFERROR(INDEX(원장입력!$B$5:$B$204,MATCH(ROW()-4,원장입력!$H$5:$H$204,0)),"")</f>
        <v/>
      </c>
      <c r="C21" s="14">
        <f>IF($B21="","",SUMIFS(원장입력!$E$5:$E$204,원장입력!$B$5:$B$204,$B21))</f>
        <v/>
      </c>
      <c r="D21" s="14">
        <f>IF($B21="","",SUMIFS(원장입력!$F$5:$F$204,원장입력!$B$5:$B$204,$B21))</f>
        <v/>
      </c>
      <c r="E21" s="14">
        <f>IF($B21="","",SUMIFS(결산조정!$B$5:$B$104,결산조정!$A$5:$A$104,$B21))</f>
        <v/>
      </c>
      <c r="F21" s="14">
        <f>IF($B21="","",SUMIFS(결산조정!$C$5:$C$104,결산조정!$A$5:$A$104,$B21))</f>
        <v/>
      </c>
      <c r="G21" s="14">
        <f>IF($B21="","",IF(OR($A21="자산",$A21="비용"),C21-D21+E21-F21,D21-C21+F21-E21))</f>
        <v/>
      </c>
      <c r="H21" s="15" t="n"/>
    </row>
    <row r="22">
      <c r="A22" s="13">
        <f>IF($B22="","",IFERROR(INDEX(계정분류!$B$5:$B$101,MATCH($B22,계정분류!$A$5:$A$101,0)),"미분류"))</f>
        <v/>
      </c>
      <c r="B22" s="12">
        <f>IFERROR(INDEX(원장입력!$B$5:$B$204,MATCH(ROW()-4,원장입력!$H$5:$H$204,0)),"")</f>
        <v/>
      </c>
      <c r="C22" s="14">
        <f>IF($B22="","",SUMIFS(원장입력!$E$5:$E$204,원장입력!$B$5:$B$204,$B22))</f>
        <v/>
      </c>
      <c r="D22" s="14">
        <f>IF($B22="","",SUMIFS(원장입력!$F$5:$F$204,원장입력!$B$5:$B$204,$B22))</f>
        <v/>
      </c>
      <c r="E22" s="14">
        <f>IF($B22="","",SUMIFS(결산조정!$B$5:$B$104,결산조정!$A$5:$A$104,$B22))</f>
        <v/>
      </c>
      <c r="F22" s="14">
        <f>IF($B22="","",SUMIFS(결산조정!$C$5:$C$104,결산조정!$A$5:$A$104,$B22))</f>
        <v/>
      </c>
      <c r="G22" s="14">
        <f>IF($B22="","",IF(OR($A22="자산",$A22="비용"),C22-D22+E22-F22,D22-C22+F22-E22))</f>
        <v/>
      </c>
      <c r="H22" s="15" t="n"/>
    </row>
    <row r="23">
      <c r="A23" s="13">
        <f>IF($B23="","",IFERROR(INDEX(계정분류!$B$5:$B$101,MATCH($B23,계정분류!$A$5:$A$101,0)),"미분류"))</f>
        <v/>
      </c>
      <c r="B23" s="12">
        <f>IFERROR(INDEX(원장입력!$B$5:$B$204,MATCH(ROW()-4,원장입력!$H$5:$H$204,0)),"")</f>
        <v/>
      </c>
      <c r="C23" s="14">
        <f>IF($B23="","",SUMIFS(원장입력!$E$5:$E$204,원장입력!$B$5:$B$204,$B23))</f>
        <v/>
      </c>
      <c r="D23" s="14">
        <f>IF($B23="","",SUMIFS(원장입력!$F$5:$F$204,원장입력!$B$5:$B$204,$B23))</f>
        <v/>
      </c>
      <c r="E23" s="14">
        <f>IF($B23="","",SUMIFS(결산조정!$B$5:$B$104,결산조정!$A$5:$A$104,$B23))</f>
        <v/>
      </c>
      <c r="F23" s="14">
        <f>IF($B23="","",SUMIFS(결산조정!$C$5:$C$104,결산조정!$A$5:$A$104,$B23))</f>
        <v/>
      </c>
      <c r="G23" s="14">
        <f>IF($B23="","",IF(OR($A23="자산",$A23="비용"),C23-D23+E23-F23,D23-C23+F23-E23))</f>
        <v/>
      </c>
      <c r="H23" s="15" t="n"/>
    </row>
    <row r="24">
      <c r="A24" s="13">
        <f>IF($B24="","",IFERROR(INDEX(계정분류!$B$5:$B$101,MATCH($B24,계정분류!$A$5:$A$101,0)),"미분류"))</f>
        <v/>
      </c>
      <c r="B24" s="12">
        <f>IFERROR(INDEX(원장입력!$B$5:$B$204,MATCH(ROW()-4,원장입력!$H$5:$H$204,0)),"")</f>
        <v/>
      </c>
      <c r="C24" s="14">
        <f>IF($B24="","",SUMIFS(원장입력!$E$5:$E$204,원장입력!$B$5:$B$204,$B24))</f>
        <v/>
      </c>
      <c r="D24" s="14">
        <f>IF($B24="","",SUMIFS(원장입력!$F$5:$F$204,원장입력!$B$5:$B$204,$B24))</f>
        <v/>
      </c>
      <c r="E24" s="14">
        <f>IF($B24="","",SUMIFS(결산조정!$B$5:$B$104,결산조정!$A$5:$A$104,$B24))</f>
        <v/>
      </c>
      <c r="F24" s="14">
        <f>IF($B24="","",SUMIFS(결산조정!$C$5:$C$104,결산조정!$A$5:$A$104,$B24))</f>
        <v/>
      </c>
      <c r="G24" s="14">
        <f>IF($B24="","",IF(OR($A24="자산",$A24="비용"),C24-D24+E24-F24,D24-C24+F24-E24))</f>
        <v/>
      </c>
      <c r="H24" s="15" t="n"/>
    </row>
    <row r="25">
      <c r="A25" s="13">
        <f>IF($B25="","",IFERROR(INDEX(계정분류!$B$5:$B$101,MATCH($B25,계정분류!$A$5:$A$101,0)),"미분류"))</f>
        <v/>
      </c>
      <c r="B25" s="12">
        <f>IFERROR(INDEX(원장입력!$B$5:$B$204,MATCH(ROW()-4,원장입력!$H$5:$H$204,0)),"")</f>
        <v/>
      </c>
      <c r="C25" s="14">
        <f>IF($B25="","",SUMIFS(원장입력!$E$5:$E$204,원장입력!$B$5:$B$204,$B25))</f>
        <v/>
      </c>
      <c r="D25" s="14">
        <f>IF($B25="","",SUMIFS(원장입력!$F$5:$F$204,원장입력!$B$5:$B$204,$B25))</f>
        <v/>
      </c>
      <c r="E25" s="14">
        <f>IF($B25="","",SUMIFS(결산조정!$B$5:$B$104,결산조정!$A$5:$A$104,$B25))</f>
        <v/>
      </c>
      <c r="F25" s="14">
        <f>IF($B25="","",SUMIFS(결산조정!$C$5:$C$104,결산조정!$A$5:$A$104,$B25))</f>
        <v/>
      </c>
      <c r="G25" s="14">
        <f>IF($B25="","",IF(OR($A25="자산",$A25="비용"),C25-D25+E25-F25,D25-C25+F25-E25))</f>
        <v/>
      </c>
      <c r="H25" s="15" t="n"/>
    </row>
    <row r="26">
      <c r="A26" s="13">
        <f>IF($B26="","",IFERROR(INDEX(계정분류!$B$5:$B$101,MATCH($B26,계정분류!$A$5:$A$101,0)),"미분류"))</f>
        <v/>
      </c>
      <c r="B26" s="12">
        <f>IFERROR(INDEX(원장입력!$B$5:$B$204,MATCH(ROW()-4,원장입력!$H$5:$H$204,0)),"")</f>
        <v/>
      </c>
      <c r="C26" s="14">
        <f>IF($B26="","",SUMIFS(원장입력!$E$5:$E$204,원장입력!$B$5:$B$204,$B26))</f>
        <v/>
      </c>
      <c r="D26" s="14">
        <f>IF($B26="","",SUMIFS(원장입력!$F$5:$F$204,원장입력!$B$5:$B$204,$B26))</f>
        <v/>
      </c>
      <c r="E26" s="14">
        <f>IF($B26="","",SUMIFS(결산조정!$B$5:$B$104,결산조정!$A$5:$A$104,$B26))</f>
        <v/>
      </c>
      <c r="F26" s="14">
        <f>IF($B26="","",SUMIFS(결산조정!$C$5:$C$104,결산조정!$A$5:$A$104,$B26))</f>
        <v/>
      </c>
      <c r="G26" s="14">
        <f>IF($B26="","",IF(OR($A26="자산",$A26="비용"),C26-D26+E26-F26,D26-C26+F26-E26))</f>
        <v/>
      </c>
      <c r="H26" s="15" t="n"/>
    </row>
    <row r="27">
      <c r="A27" s="13">
        <f>IF($B27="","",IFERROR(INDEX(계정분류!$B$5:$B$101,MATCH($B27,계정분류!$A$5:$A$101,0)),"미분류"))</f>
        <v/>
      </c>
      <c r="B27" s="12">
        <f>IFERROR(INDEX(원장입력!$B$5:$B$204,MATCH(ROW()-4,원장입력!$H$5:$H$204,0)),"")</f>
        <v/>
      </c>
      <c r="C27" s="14">
        <f>IF($B27="","",SUMIFS(원장입력!$E$5:$E$204,원장입력!$B$5:$B$204,$B27))</f>
        <v/>
      </c>
      <c r="D27" s="14">
        <f>IF($B27="","",SUMIFS(원장입력!$F$5:$F$204,원장입력!$B$5:$B$204,$B27))</f>
        <v/>
      </c>
      <c r="E27" s="14">
        <f>IF($B27="","",SUMIFS(결산조정!$B$5:$B$104,결산조정!$A$5:$A$104,$B27))</f>
        <v/>
      </c>
      <c r="F27" s="14">
        <f>IF($B27="","",SUMIFS(결산조정!$C$5:$C$104,결산조정!$A$5:$A$104,$B27))</f>
        <v/>
      </c>
      <c r="G27" s="14">
        <f>IF($B27="","",IF(OR($A27="자산",$A27="비용"),C27-D27+E27-F27,D27-C27+F27-E27))</f>
        <v/>
      </c>
      <c r="H27" s="15" t="n"/>
    </row>
    <row r="28">
      <c r="A28" s="13">
        <f>IF($B28="","",IFERROR(INDEX(계정분류!$B$5:$B$101,MATCH($B28,계정분류!$A$5:$A$101,0)),"미분류"))</f>
        <v/>
      </c>
      <c r="B28" s="12">
        <f>IFERROR(INDEX(원장입력!$B$5:$B$204,MATCH(ROW()-4,원장입력!$H$5:$H$204,0)),"")</f>
        <v/>
      </c>
      <c r="C28" s="14">
        <f>IF($B28="","",SUMIFS(원장입력!$E$5:$E$204,원장입력!$B$5:$B$204,$B28))</f>
        <v/>
      </c>
      <c r="D28" s="14">
        <f>IF($B28="","",SUMIFS(원장입력!$F$5:$F$204,원장입력!$B$5:$B$204,$B28))</f>
        <v/>
      </c>
      <c r="E28" s="14">
        <f>IF($B28="","",SUMIFS(결산조정!$B$5:$B$104,결산조정!$A$5:$A$104,$B28))</f>
        <v/>
      </c>
      <c r="F28" s="14">
        <f>IF($B28="","",SUMIFS(결산조정!$C$5:$C$104,결산조정!$A$5:$A$104,$B28))</f>
        <v/>
      </c>
      <c r="G28" s="14">
        <f>IF($B28="","",IF(OR($A28="자산",$A28="비용"),C28-D28+E28-F28,D28-C28+F28-E28))</f>
        <v/>
      </c>
      <c r="H28" s="15" t="n"/>
    </row>
    <row r="29">
      <c r="A29" s="13">
        <f>IF($B29="","",IFERROR(INDEX(계정분류!$B$5:$B$101,MATCH($B29,계정분류!$A$5:$A$101,0)),"미분류"))</f>
        <v/>
      </c>
      <c r="B29" s="12">
        <f>IFERROR(INDEX(원장입력!$B$5:$B$204,MATCH(ROW()-4,원장입력!$H$5:$H$204,0)),"")</f>
        <v/>
      </c>
      <c r="C29" s="14">
        <f>IF($B29="","",SUMIFS(원장입력!$E$5:$E$204,원장입력!$B$5:$B$204,$B29))</f>
        <v/>
      </c>
      <c r="D29" s="14">
        <f>IF($B29="","",SUMIFS(원장입력!$F$5:$F$204,원장입력!$B$5:$B$204,$B29))</f>
        <v/>
      </c>
      <c r="E29" s="14">
        <f>IF($B29="","",SUMIFS(결산조정!$B$5:$B$104,결산조정!$A$5:$A$104,$B29))</f>
        <v/>
      </c>
      <c r="F29" s="14">
        <f>IF($B29="","",SUMIFS(결산조정!$C$5:$C$104,결산조정!$A$5:$A$104,$B29))</f>
        <v/>
      </c>
      <c r="G29" s="14">
        <f>IF($B29="","",IF(OR($A29="자산",$A29="비용"),C29-D29+E29-F29,D29-C29+F29-E29))</f>
        <v/>
      </c>
      <c r="H29" s="15" t="n"/>
    </row>
    <row r="30">
      <c r="A30" s="13">
        <f>IF($B30="","",IFERROR(INDEX(계정분류!$B$5:$B$101,MATCH($B30,계정분류!$A$5:$A$101,0)),"미분류"))</f>
        <v/>
      </c>
      <c r="B30" s="12">
        <f>IFERROR(INDEX(원장입력!$B$5:$B$204,MATCH(ROW()-4,원장입력!$H$5:$H$204,0)),"")</f>
        <v/>
      </c>
      <c r="C30" s="14">
        <f>IF($B30="","",SUMIFS(원장입력!$E$5:$E$204,원장입력!$B$5:$B$204,$B30))</f>
        <v/>
      </c>
      <c r="D30" s="14">
        <f>IF($B30="","",SUMIFS(원장입력!$F$5:$F$204,원장입력!$B$5:$B$204,$B30))</f>
        <v/>
      </c>
      <c r="E30" s="14">
        <f>IF($B30="","",SUMIFS(결산조정!$B$5:$B$104,결산조정!$A$5:$A$104,$B30))</f>
        <v/>
      </c>
      <c r="F30" s="14">
        <f>IF($B30="","",SUMIFS(결산조정!$C$5:$C$104,결산조정!$A$5:$A$104,$B30))</f>
        <v/>
      </c>
      <c r="G30" s="14">
        <f>IF($B30="","",IF(OR($A30="자산",$A30="비용"),C30-D30+E30-F30,D30-C30+F30-E30))</f>
        <v/>
      </c>
      <c r="H30" s="15" t="n"/>
    </row>
    <row r="31">
      <c r="A31" s="13">
        <f>IF($B31="","",IFERROR(INDEX(계정분류!$B$5:$B$101,MATCH($B31,계정분류!$A$5:$A$101,0)),"미분류"))</f>
        <v/>
      </c>
      <c r="B31" s="12">
        <f>IFERROR(INDEX(원장입력!$B$5:$B$204,MATCH(ROW()-4,원장입력!$H$5:$H$204,0)),"")</f>
        <v/>
      </c>
      <c r="C31" s="14">
        <f>IF($B31="","",SUMIFS(원장입력!$E$5:$E$204,원장입력!$B$5:$B$204,$B31))</f>
        <v/>
      </c>
      <c r="D31" s="14">
        <f>IF($B31="","",SUMIFS(원장입력!$F$5:$F$204,원장입력!$B$5:$B$204,$B31))</f>
        <v/>
      </c>
      <c r="E31" s="14">
        <f>IF($B31="","",SUMIFS(결산조정!$B$5:$B$104,결산조정!$A$5:$A$104,$B31))</f>
        <v/>
      </c>
      <c r="F31" s="14">
        <f>IF($B31="","",SUMIFS(결산조정!$C$5:$C$104,결산조정!$A$5:$A$104,$B31))</f>
        <v/>
      </c>
      <c r="G31" s="14">
        <f>IF($B31="","",IF(OR($A31="자산",$A31="비용"),C31-D31+E31-F31,D31-C31+F31-E31))</f>
        <v/>
      </c>
      <c r="H31" s="15" t="n"/>
    </row>
    <row r="32">
      <c r="A32" s="13">
        <f>IF($B32="","",IFERROR(INDEX(계정분류!$B$5:$B$101,MATCH($B32,계정분류!$A$5:$A$101,0)),"미분류"))</f>
        <v/>
      </c>
      <c r="B32" s="12">
        <f>IFERROR(INDEX(원장입력!$B$5:$B$204,MATCH(ROW()-4,원장입력!$H$5:$H$204,0)),"")</f>
        <v/>
      </c>
      <c r="C32" s="14">
        <f>IF($B32="","",SUMIFS(원장입력!$E$5:$E$204,원장입력!$B$5:$B$204,$B32))</f>
        <v/>
      </c>
      <c r="D32" s="14">
        <f>IF($B32="","",SUMIFS(원장입력!$F$5:$F$204,원장입력!$B$5:$B$204,$B32))</f>
        <v/>
      </c>
      <c r="E32" s="14">
        <f>IF($B32="","",SUMIFS(결산조정!$B$5:$B$104,결산조정!$A$5:$A$104,$B32))</f>
        <v/>
      </c>
      <c r="F32" s="14">
        <f>IF($B32="","",SUMIFS(결산조정!$C$5:$C$104,결산조정!$A$5:$A$104,$B32))</f>
        <v/>
      </c>
      <c r="G32" s="14">
        <f>IF($B32="","",IF(OR($A32="자산",$A32="비용"),C32-D32+E32-F32,D32-C32+F32-E32))</f>
        <v/>
      </c>
      <c r="H32" s="15" t="n"/>
    </row>
    <row r="33">
      <c r="A33" s="13">
        <f>IF($B33="","",IFERROR(INDEX(계정분류!$B$5:$B$101,MATCH($B33,계정분류!$A$5:$A$101,0)),"미분류"))</f>
        <v/>
      </c>
      <c r="B33" s="12">
        <f>IFERROR(INDEX(원장입력!$B$5:$B$204,MATCH(ROW()-4,원장입력!$H$5:$H$204,0)),"")</f>
        <v/>
      </c>
      <c r="C33" s="14">
        <f>IF($B33="","",SUMIFS(원장입력!$E$5:$E$204,원장입력!$B$5:$B$204,$B33))</f>
        <v/>
      </c>
      <c r="D33" s="14">
        <f>IF($B33="","",SUMIFS(원장입력!$F$5:$F$204,원장입력!$B$5:$B$204,$B33))</f>
        <v/>
      </c>
      <c r="E33" s="14">
        <f>IF($B33="","",SUMIFS(결산조정!$B$5:$B$104,결산조정!$A$5:$A$104,$B33))</f>
        <v/>
      </c>
      <c r="F33" s="14">
        <f>IF($B33="","",SUMIFS(결산조정!$C$5:$C$104,결산조정!$A$5:$A$104,$B33))</f>
        <v/>
      </c>
      <c r="G33" s="14">
        <f>IF($B33="","",IF(OR($A33="자산",$A33="비용"),C33-D33+E33-F33,D33-C33+F33-E33))</f>
        <v/>
      </c>
      <c r="H33" s="15" t="n"/>
    </row>
    <row r="34">
      <c r="A34" s="13">
        <f>IF($B34="","",IFERROR(INDEX(계정분류!$B$5:$B$101,MATCH($B34,계정분류!$A$5:$A$101,0)),"미분류"))</f>
        <v/>
      </c>
      <c r="B34" s="12">
        <f>IFERROR(INDEX(원장입력!$B$5:$B$204,MATCH(ROW()-4,원장입력!$H$5:$H$204,0)),"")</f>
        <v/>
      </c>
      <c r="C34" s="14">
        <f>IF($B34="","",SUMIFS(원장입력!$E$5:$E$204,원장입력!$B$5:$B$204,$B34))</f>
        <v/>
      </c>
      <c r="D34" s="14">
        <f>IF($B34="","",SUMIFS(원장입력!$F$5:$F$204,원장입력!$B$5:$B$204,$B34))</f>
        <v/>
      </c>
      <c r="E34" s="14">
        <f>IF($B34="","",SUMIFS(결산조정!$B$5:$B$104,결산조정!$A$5:$A$104,$B34))</f>
        <v/>
      </c>
      <c r="F34" s="14">
        <f>IF($B34="","",SUMIFS(결산조정!$C$5:$C$104,결산조정!$A$5:$A$104,$B34))</f>
        <v/>
      </c>
      <c r="G34" s="14">
        <f>IF($B34="","",IF(OR($A34="자산",$A34="비용"),C34-D34+E34-F34,D34-C34+F34-E34))</f>
        <v/>
      </c>
      <c r="H34" s="15" t="n"/>
    </row>
    <row r="35">
      <c r="A35" s="13">
        <f>IF($B35="","",IFERROR(INDEX(계정분류!$B$5:$B$101,MATCH($B35,계정분류!$A$5:$A$101,0)),"미분류"))</f>
        <v/>
      </c>
      <c r="B35" s="12">
        <f>IFERROR(INDEX(원장입력!$B$5:$B$204,MATCH(ROW()-4,원장입력!$H$5:$H$204,0)),"")</f>
        <v/>
      </c>
      <c r="C35" s="14">
        <f>IF($B35="","",SUMIFS(원장입력!$E$5:$E$204,원장입력!$B$5:$B$204,$B35))</f>
        <v/>
      </c>
      <c r="D35" s="14">
        <f>IF($B35="","",SUMIFS(원장입력!$F$5:$F$204,원장입력!$B$5:$B$204,$B35))</f>
        <v/>
      </c>
      <c r="E35" s="14">
        <f>IF($B35="","",SUMIFS(결산조정!$B$5:$B$104,결산조정!$A$5:$A$104,$B35))</f>
        <v/>
      </c>
      <c r="F35" s="14">
        <f>IF($B35="","",SUMIFS(결산조정!$C$5:$C$104,결산조정!$A$5:$A$104,$B35))</f>
        <v/>
      </c>
      <c r="G35" s="14">
        <f>IF($B35="","",IF(OR($A35="자산",$A35="비용"),C35-D35+E35-F35,D35-C35+F35-E35))</f>
        <v/>
      </c>
      <c r="H35" s="15" t="n"/>
    </row>
    <row r="36">
      <c r="A36" s="13">
        <f>IF($B36="","",IFERROR(INDEX(계정분류!$B$5:$B$101,MATCH($B36,계정분류!$A$5:$A$101,0)),"미분류"))</f>
        <v/>
      </c>
      <c r="B36" s="12">
        <f>IFERROR(INDEX(원장입력!$B$5:$B$204,MATCH(ROW()-4,원장입력!$H$5:$H$204,0)),"")</f>
        <v/>
      </c>
      <c r="C36" s="14">
        <f>IF($B36="","",SUMIFS(원장입력!$E$5:$E$204,원장입력!$B$5:$B$204,$B36))</f>
        <v/>
      </c>
      <c r="D36" s="14">
        <f>IF($B36="","",SUMIFS(원장입력!$F$5:$F$204,원장입력!$B$5:$B$204,$B36))</f>
        <v/>
      </c>
      <c r="E36" s="14">
        <f>IF($B36="","",SUMIFS(결산조정!$B$5:$B$104,결산조정!$A$5:$A$104,$B36))</f>
        <v/>
      </c>
      <c r="F36" s="14">
        <f>IF($B36="","",SUMIFS(결산조정!$C$5:$C$104,결산조정!$A$5:$A$104,$B36))</f>
        <v/>
      </c>
      <c r="G36" s="14">
        <f>IF($B36="","",IF(OR($A36="자산",$A36="비용"),C36-D36+E36-F36,D36-C36+F36-E36))</f>
        <v/>
      </c>
      <c r="H36" s="15" t="n"/>
    </row>
    <row r="37">
      <c r="A37" s="13">
        <f>IF($B37="","",IFERROR(INDEX(계정분류!$B$5:$B$101,MATCH($B37,계정분류!$A$5:$A$101,0)),"미분류"))</f>
        <v/>
      </c>
      <c r="B37" s="12">
        <f>IFERROR(INDEX(원장입력!$B$5:$B$204,MATCH(ROW()-4,원장입력!$H$5:$H$204,0)),"")</f>
        <v/>
      </c>
      <c r="C37" s="14">
        <f>IF($B37="","",SUMIFS(원장입력!$E$5:$E$204,원장입력!$B$5:$B$204,$B37))</f>
        <v/>
      </c>
      <c r="D37" s="14">
        <f>IF($B37="","",SUMIFS(원장입력!$F$5:$F$204,원장입력!$B$5:$B$204,$B37))</f>
        <v/>
      </c>
      <c r="E37" s="14">
        <f>IF($B37="","",SUMIFS(결산조정!$B$5:$B$104,결산조정!$A$5:$A$104,$B37))</f>
        <v/>
      </c>
      <c r="F37" s="14">
        <f>IF($B37="","",SUMIFS(결산조정!$C$5:$C$104,결산조정!$A$5:$A$104,$B37))</f>
        <v/>
      </c>
      <c r="G37" s="14">
        <f>IF($B37="","",IF(OR($A37="자산",$A37="비용"),C37-D37+E37-F37,D37-C37+F37-E37))</f>
        <v/>
      </c>
      <c r="H37" s="15" t="n"/>
    </row>
    <row r="38">
      <c r="A38" s="13">
        <f>IF($B38="","",IFERROR(INDEX(계정분류!$B$5:$B$101,MATCH($B38,계정분류!$A$5:$A$101,0)),"미분류"))</f>
        <v/>
      </c>
      <c r="B38" s="12">
        <f>IFERROR(INDEX(원장입력!$B$5:$B$204,MATCH(ROW()-4,원장입력!$H$5:$H$204,0)),"")</f>
        <v/>
      </c>
      <c r="C38" s="14">
        <f>IF($B38="","",SUMIFS(원장입력!$E$5:$E$204,원장입력!$B$5:$B$204,$B38))</f>
        <v/>
      </c>
      <c r="D38" s="14">
        <f>IF($B38="","",SUMIFS(원장입력!$F$5:$F$204,원장입력!$B$5:$B$204,$B38))</f>
        <v/>
      </c>
      <c r="E38" s="14">
        <f>IF($B38="","",SUMIFS(결산조정!$B$5:$B$104,결산조정!$A$5:$A$104,$B38))</f>
        <v/>
      </c>
      <c r="F38" s="14">
        <f>IF($B38="","",SUMIFS(결산조정!$C$5:$C$104,결산조정!$A$5:$A$104,$B38))</f>
        <v/>
      </c>
      <c r="G38" s="14">
        <f>IF($B38="","",IF(OR($A38="자산",$A38="비용"),C38-D38+E38-F38,D38-C38+F38-E38))</f>
        <v/>
      </c>
      <c r="H38" s="15" t="n"/>
    </row>
    <row r="39">
      <c r="A39" s="13">
        <f>IF($B39="","",IFERROR(INDEX(계정분류!$B$5:$B$101,MATCH($B39,계정분류!$A$5:$A$101,0)),"미분류"))</f>
        <v/>
      </c>
      <c r="B39" s="12">
        <f>IFERROR(INDEX(원장입력!$B$5:$B$204,MATCH(ROW()-4,원장입력!$H$5:$H$204,0)),"")</f>
        <v/>
      </c>
      <c r="C39" s="14">
        <f>IF($B39="","",SUMIFS(원장입력!$E$5:$E$204,원장입력!$B$5:$B$204,$B39))</f>
        <v/>
      </c>
      <c r="D39" s="14">
        <f>IF($B39="","",SUMIFS(원장입력!$F$5:$F$204,원장입력!$B$5:$B$204,$B39))</f>
        <v/>
      </c>
      <c r="E39" s="14">
        <f>IF($B39="","",SUMIFS(결산조정!$B$5:$B$104,결산조정!$A$5:$A$104,$B39))</f>
        <v/>
      </c>
      <c r="F39" s="14">
        <f>IF($B39="","",SUMIFS(결산조정!$C$5:$C$104,결산조정!$A$5:$A$104,$B39))</f>
        <v/>
      </c>
      <c r="G39" s="14">
        <f>IF($B39="","",IF(OR($A39="자산",$A39="비용"),C39-D39+E39-F39,D39-C39+F39-E39))</f>
        <v/>
      </c>
      <c r="H39" s="15" t="n"/>
    </row>
    <row r="40">
      <c r="A40" s="13">
        <f>IF($B40="","",IFERROR(INDEX(계정분류!$B$5:$B$101,MATCH($B40,계정분류!$A$5:$A$101,0)),"미분류"))</f>
        <v/>
      </c>
      <c r="B40" s="12">
        <f>IFERROR(INDEX(원장입력!$B$5:$B$204,MATCH(ROW()-4,원장입력!$H$5:$H$204,0)),"")</f>
        <v/>
      </c>
      <c r="C40" s="14">
        <f>IF($B40="","",SUMIFS(원장입력!$E$5:$E$204,원장입력!$B$5:$B$204,$B40))</f>
        <v/>
      </c>
      <c r="D40" s="14">
        <f>IF($B40="","",SUMIFS(원장입력!$F$5:$F$204,원장입력!$B$5:$B$204,$B40))</f>
        <v/>
      </c>
      <c r="E40" s="14">
        <f>IF($B40="","",SUMIFS(결산조정!$B$5:$B$104,결산조정!$A$5:$A$104,$B40))</f>
        <v/>
      </c>
      <c r="F40" s="14">
        <f>IF($B40="","",SUMIFS(결산조정!$C$5:$C$104,결산조정!$A$5:$A$104,$B40))</f>
        <v/>
      </c>
      <c r="G40" s="14">
        <f>IF($B40="","",IF(OR($A40="자산",$A40="비용"),C40-D40+E40-F40,D40-C40+F40-E40))</f>
        <v/>
      </c>
      <c r="H40" s="15" t="n"/>
    </row>
    <row r="41">
      <c r="A41" s="13">
        <f>IF($B41="","",IFERROR(INDEX(계정분류!$B$5:$B$101,MATCH($B41,계정분류!$A$5:$A$101,0)),"미분류"))</f>
        <v/>
      </c>
      <c r="B41" s="12">
        <f>IFERROR(INDEX(원장입력!$B$5:$B$204,MATCH(ROW()-4,원장입력!$H$5:$H$204,0)),"")</f>
        <v/>
      </c>
      <c r="C41" s="14">
        <f>IF($B41="","",SUMIFS(원장입력!$E$5:$E$204,원장입력!$B$5:$B$204,$B41))</f>
        <v/>
      </c>
      <c r="D41" s="14">
        <f>IF($B41="","",SUMIFS(원장입력!$F$5:$F$204,원장입력!$B$5:$B$204,$B41))</f>
        <v/>
      </c>
      <c r="E41" s="14">
        <f>IF($B41="","",SUMIFS(결산조정!$B$5:$B$104,결산조정!$A$5:$A$104,$B41))</f>
        <v/>
      </c>
      <c r="F41" s="14">
        <f>IF($B41="","",SUMIFS(결산조정!$C$5:$C$104,결산조정!$A$5:$A$104,$B41))</f>
        <v/>
      </c>
      <c r="G41" s="14">
        <f>IF($B41="","",IF(OR($A41="자산",$A41="비용"),C41-D41+E41-F41,D41-C41+F41-E41))</f>
        <v/>
      </c>
      <c r="H41" s="15" t="n"/>
    </row>
    <row r="42">
      <c r="A42" s="13">
        <f>IF($B42="","",IFERROR(INDEX(계정분류!$B$5:$B$101,MATCH($B42,계정분류!$A$5:$A$101,0)),"미분류"))</f>
        <v/>
      </c>
      <c r="B42" s="12">
        <f>IFERROR(INDEX(원장입력!$B$5:$B$204,MATCH(ROW()-4,원장입력!$H$5:$H$204,0)),"")</f>
        <v/>
      </c>
      <c r="C42" s="14">
        <f>IF($B42="","",SUMIFS(원장입력!$E$5:$E$204,원장입력!$B$5:$B$204,$B42))</f>
        <v/>
      </c>
      <c r="D42" s="14">
        <f>IF($B42="","",SUMIFS(원장입력!$F$5:$F$204,원장입력!$B$5:$B$204,$B42))</f>
        <v/>
      </c>
      <c r="E42" s="14">
        <f>IF($B42="","",SUMIFS(결산조정!$B$5:$B$104,결산조정!$A$5:$A$104,$B42))</f>
        <v/>
      </c>
      <c r="F42" s="14">
        <f>IF($B42="","",SUMIFS(결산조정!$C$5:$C$104,결산조정!$A$5:$A$104,$B42))</f>
        <v/>
      </c>
      <c r="G42" s="14">
        <f>IF($B42="","",IF(OR($A42="자산",$A42="비용"),C42-D42+E42-F42,D42-C42+F42-E42))</f>
        <v/>
      </c>
      <c r="H42" s="15" t="n"/>
    </row>
    <row r="43">
      <c r="A43" s="13">
        <f>IF($B43="","",IFERROR(INDEX(계정분류!$B$5:$B$101,MATCH($B43,계정분류!$A$5:$A$101,0)),"미분류"))</f>
        <v/>
      </c>
      <c r="B43" s="12">
        <f>IFERROR(INDEX(원장입력!$B$5:$B$204,MATCH(ROW()-4,원장입력!$H$5:$H$204,0)),"")</f>
        <v/>
      </c>
      <c r="C43" s="14">
        <f>IF($B43="","",SUMIFS(원장입력!$E$5:$E$204,원장입력!$B$5:$B$204,$B43))</f>
        <v/>
      </c>
      <c r="D43" s="14">
        <f>IF($B43="","",SUMIFS(원장입력!$F$5:$F$204,원장입력!$B$5:$B$204,$B43))</f>
        <v/>
      </c>
      <c r="E43" s="14">
        <f>IF($B43="","",SUMIFS(결산조정!$B$5:$B$104,결산조정!$A$5:$A$104,$B43))</f>
        <v/>
      </c>
      <c r="F43" s="14">
        <f>IF($B43="","",SUMIFS(결산조정!$C$5:$C$104,결산조정!$A$5:$A$104,$B43))</f>
        <v/>
      </c>
      <c r="G43" s="14">
        <f>IF($B43="","",IF(OR($A43="자산",$A43="비용"),C43-D43+E43-F43,D43-C43+F43-E43))</f>
        <v/>
      </c>
      <c r="H43" s="15" t="n"/>
    </row>
    <row r="44">
      <c r="A44" s="13">
        <f>IF($B44="","",IFERROR(INDEX(계정분류!$B$5:$B$101,MATCH($B44,계정분류!$A$5:$A$101,0)),"미분류"))</f>
        <v/>
      </c>
      <c r="B44" s="12">
        <f>IFERROR(INDEX(원장입력!$B$5:$B$204,MATCH(ROW()-4,원장입력!$H$5:$H$204,0)),"")</f>
        <v/>
      </c>
      <c r="C44" s="14">
        <f>IF($B44="","",SUMIFS(원장입력!$E$5:$E$204,원장입력!$B$5:$B$204,$B44))</f>
        <v/>
      </c>
      <c r="D44" s="14">
        <f>IF($B44="","",SUMIFS(원장입력!$F$5:$F$204,원장입력!$B$5:$B$204,$B44))</f>
        <v/>
      </c>
      <c r="E44" s="14">
        <f>IF($B44="","",SUMIFS(결산조정!$B$5:$B$104,결산조정!$A$5:$A$104,$B44))</f>
        <v/>
      </c>
      <c r="F44" s="14">
        <f>IF($B44="","",SUMIFS(결산조정!$C$5:$C$104,결산조정!$A$5:$A$104,$B44))</f>
        <v/>
      </c>
      <c r="G44" s="14">
        <f>IF($B44="","",IF(OR($A44="자산",$A44="비용"),C44-D44+E44-F44,D44-C44+F44-E44))</f>
        <v/>
      </c>
      <c r="H44" s="1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8" customWidth="1" min="3" max="3"/>
    <col width="15" customWidth="1" min="4" max="4"/>
    <col width="17" customWidth="1" min="5" max="5"/>
    <col width="13" customWidth="1" min="6" max="6"/>
    <col width="13" customWidth="1" min="7" max="7"/>
    <col width="14" customWidth="1" min="8" max="8"/>
  </cols>
  <sheetData>
    <row r="1">
      <c r="A1" s="4" t="inlineStr">
        <is>
          <t>잔액 3자 대사 — 결산명세서 · 합잔 · 재무상태표</t>
        </is>
      </c>
    </row>
    <row r="2">
      <c r="A2" s="5" t="inlineStr">
        <is>
          <t>■ 계정은 자동으로 나타납니다. 노란색 두 열만 입력하세요. '✖ 확인 필요' → [결산조정]에 조정 입력 → 즉시 재판정.</t>
        </is>
      </c>
    </row>
    <row r="3"/>
    <row r="4">
      <c r="A4" s="6" t="inlineStr">
        <is>
          <t>구분</t>
        </is>
      </c>
      <c r="B4" s="6" t="inlineStr">
        <is>
          <t>계정과목</t>
        </is>
      </c>
      <c r="C4" s="6" t="inlineStr">
        <is>
          <t>① 명세서 잔액(자동)</t>
        </is>
      </c>
      <c r="D4" s="6" t="inlineStr">
        <is>
          <t>② 합잔 잔액</t>
        </is>
      </c>
      <c r="E4" s="6" t="inlineStr">
        <is>
          <t>③ 재무상태표 잔액</t>
        </is>
      </c>
      <c r="F4" s="6" t="inlineStr">
        <is>
          <t>차이(①-②)</t>
        </is>
      </c>
      <c r="G4" s="6" t="inlineStr">
        <is>
          <t>차이(②-③)</t>
        </is>
      </c>
      <c r="H4" s="6" t="inlineStr">
        <is>
          <t>판정</t>
        </is>
      </c>
    </row>
    <row r="5">
      <c r="A5" s="13">
        <f>IF(결산명세서!$B5="","",결산명세서!$A5)</f>
        <v/>
      </c>
      <c r="B5" s="12">
        <f>IF(결산명세서!$B5="","",결산명세서!$B5)</f>
        <v/>
      </c>
      <c r="C5" s="16">
        <f>IF($B5="","",결산명세서!$G5)</f>
        <v/>
      </c>
      <c r="D5" s="8" t="n">
        <v>500000</v>
      </c>
      <c r="E5" s="8" t="n">
        <v>500000</v>
      </c>
      <c r="F5" s="14">
        <f>IF($B5="","",C5-D5)</f>
        <v/>
      </c>
      <c r="G5" s="14">
        <f>IF($B5="","",D5-E5)</f>
        <v/>
      </c>
      <c r="H5" s="13">
        <f>IF($B5="","",IF(AND(F5=0,G5=0),"✔ 일치","✖ 확인 필요"))</f>
        <v/>
      </c>
    </row>
    <row r="6">
      <c r="A6" s="13">
        <f>IF(결산명세서!$B6="","",결산명세서!$A6)</f>
        <v/>
      </c>
      <c r="B6" s="12">
        <f>IF(결산명세서!$B6="","",결산명세서!$B6)</f>
        <v/>
      </c>
      <c r="C6" s="16">
        <f>IF($B6="","",결산명세서!$G6)</f>
        <v/>
      </c>
      <c r="D6" s="8" t="n">
        <v>48250000</v>
      </c>
      <c r="E6" s="8" t="n">
        <v>48250000</v>
      </c>
      <c r="F6" s="14">
        <f>IF($B6="","",C6-D6)</f>
        <v/>
      </c>
      <c r="G6" s="14">
        <f>IF($B6="","",D6-E6)</f>
        <v/>
      </c>
      <c r="H6" s="13">
        <f>IF($B6="","",IF(AND(F6=0,G6=0),"✔ 일치","✖ 확인 필요"))</f>
        <v/>
      </c>
    </row>
    <row r="7">
      <c r="A7" s="13">
        <f>IF(결산명세서!$B7="","",결산명세서!$A7)</f>
        <v/>
      </c>
      <c r="B7" s="12">
        <f>IF(결산명세서!$B7="","",결산명세서!$B7)</f>
        <v/>
      </c>
      <c r="C7" s="16">
        <f>IF($B7="","",결산명세서!$G7)</f>
        <v/>
      </c>
      <c r="D7" s="8" t="n">
        <v>12300000</v>
      </c>
      <c r="E7" s="8" t="n">
        <v>12300000</v>
      </c>
      <c r="F7" s="14">
        <f>IF($B7="","",C7-D7)</f>
        <v/>
      </c>
      <c r="G7" s="14">
        <f>IF($B7="","",D7-E7)</f>
        <v/>
      </c>
      <c r="H7" s="13">
        <f>IF($B7="","",IF(AND(F7=0,G7=0),"✔ 일치","✖ 확인 필요"))</f>
        <v/>
      </c>
    </row>
    <row r="8">
      <c r="A8" s="13">
        <f>IF(결산명세서!$B8="","",결산명세서!$A8)</f>
        <v/>
      </c>
      <c r="B8" s="12">
        <f>IF(결산명세서!$B8="","",결산명세서!$B8)</f>
        <v/>
      </c>
      <c r="C8" s="16">
        <f>IF($B8="","",결산명세서!$G8)</f>
        <v/>
      </c>
      <c r="D8" s="8" t="n">
        <v>1800000</v>
      </c>
      <c r="E8" s="8" t="n">
        <v>1800000</v>
      </c>
      <c r="F8" s="14">
        <f>IF($B8="","",C8-D8)</f>
        <v/>
      </c>
      <c r="G8" s="14">
        <f>IF($B8="","",D8-E8)</f>
        <v/>
      </c>
      <c r="H8" s="13">
        <f>IF($B8="","",IF(AND(F8=0,G8=0),"✔ 일치","✖ 확인 필요"))</f>
        <v/>
      </c>
    </row>
    <row r="9">
      <c r="A9" s="13">
        <f>IF(결산명세서!$B9="","",결산명세서!$A9)</f>
        <v/>
      </c>
      <c r="B9" s="12">
        <f>IF(결산명세서!$B9="","",결산명세서!$B9)</f>
        <v/>
      </c>
      <c r="C9" s="16">
        <f>IF($B9="","",결산명세서!$G9)</f>
        <v/>
      </c>
      <c r="D9" s="8" t="n">
        <v>700000</v>
      </c>
      <c r="E9" s="8" t="n">
        <v>700000</v>
      </c>
      <c r="F9" s="14">
        <f>IF($B9="","",C9-D9)</f>
        <v/>
      </c>
      <c r="G9" s="14">
        <f>IF($B9="","",D9-E9)</f>
        <v/>
      </c>
      <c r="H9" s="13">
        <f>IF($B9="","",IF(AND(F9=0,G9=0),"✔ 일치","✖ 확인 필요"))</f>
        <v/>
      </c>
    </row>
    <row r="10">
      <c r="A10" s="13">
        <f>IF(결산명세서!$B10="","",결산명세서!$A10)</f>
        <v/>
      </c>
      <c r="B10" s="12">
        <f>IF(결산명세서!$B10="","",결산명세서!$B10)</f>
        <v/>
      </c>
      <c r="C10" s="16">
        <f>IF($B10="","",결산명세서!$G10)</f>
        <v/>
      </c>
      <c r="D10" s="8" t="n">
        <v>23400000</v>
      </c>
      <c r="E10" s="8" t="n">
        <v>23400000</v>
      </c>
      <c r="F10" s="14">
        <f>IF($B10="","",C10-D10)</f>
        <v/>
      </c>
      <c r="G10" s="14">
        <f>IF($B10="","",D10-E10)</f>
        <v/>
      </c>
      <c r="H10" s="13">
        <f>IF($B10="","",IF(AND(F10=0,G10=0),"✔ 일치","✖ 확인 필요"))</f>
        <v/>
      </c>
    </row>
    <row r="11">
      <c r="A11" s="13">
        <f>IF(결산명세서!$B11="","",결산명세서!$A11)</f>
        <v/>
      </c>
      <c r="B11" s="12">
        <f>IF(결산명세서!$B11="","",결산명세서!$B11)</f>
        <v/>
      </c>
      <c r="C11" s="16">
        <f>IF($B11="","",결산명세서!$G11)</f>
        <v/>
      </c>
      <c r="D11" s="8" t="n">
        <v>8900000</v>
      </c>
      <c r="E11" s="8" t="n">
        <v>8900000</v>
      </c>
      <c r="F11" s="14">
        <f>IF($B11="","",C11-D11)</f>
        <v/>
      </c>
      <c r="G11" s="14">
        <f>IF($B11="","",D11-E11)</f>
        <v/>
      </c>
      <c r="H11" s="13">
        <f>IF($B11="","",IF(AND(F11=0,G11=0),"✔ 일치","✖ 확인 필요"))</f>
        <v/>
      </c>
    </row>
    <row r="12">
      <c r="A12" s="13">
        <f>IF(결산명세서!$B12="","",결산명세서!$A12)</f>
        <v/>
      </c>
      <c r="B12" s="12">
        <f>IF(결산명세서!$B12="","",결산명세서!$B12)</f>
        <v/>
      </c>
      <c r="C12" s="16">
        <f>IF($B12="","",결산명세서!$G12)</f>
        <v/>
      </c>
      <c r="D12" s="8" t="n">
        <v>2450000</v>
      </c>
      <c r="E12" s="8" t="n">
        <v>2450000</v>
      </c>
      <c r="F12" s="14">
        <f>IF($B12="","",C12-D12)</f>
        <v/>
      </c>
      <c r="G12" s="14">
        <f>IF($B12="","",D12-E12)</f>
        <v/>
      </c>
      <c r="H12" s="13">
        <f>IF($B12="","",IF(AND(F12=0,G12=0),"✔ 일치","✖ 확인 필요"))</f>
        <v/>
      </c>
    </row>
    <row r="13">
      <c r="A13" s="13">
        <f>IF(결산명세서!$B13="","",결산명세서!$A13)</f>
        <v/>
      </c>
      <c r="B13" s="12">
        <f>IF(결산명세서!$B13="","",결산명세서!$B13)</f>
        <v/>
      </c>
      <c r="C13" s="16">
        <f>IF($B13="","",결산명세서!$G13)</f>
        <v/>
      </c>
      <c r="D13" s="8" t="n">
        <v>1130000</v>
      </c>
      <c r="E13" s="8" t="n">
        <v>1130000</v>
      </c>
      <c r="F13" s="14">
        <f>IF($B13="","",C13-D13)</f>
        <v/>
      </c>
      <c r="G13" s="14">
        <f>IF($B13="","",D13-E13)</f>
        <v/>
      </c>
      <c r="H13" s="13">
        <f>IF($B13="","",IF(AND(F13=0,G13=0),"✔ 일치","✖ 확인 필요"))</f>
        <v/>
      </c>
    </row>
    <row r="14">
      <c r="A14" s="13">
        <f>IF(결산명세서!$B14="","",결산명세서!$A14)</f>
        <v/>
      </c>
      <c r="B14" s="12">
        <f>IF(결산명세서!$B14="","",결산명세서!$B14)</f>
        <v/>
      </c>
      <c r="C14" s="16">
        <f>IF($B14="","",결산명세서!$G14)</f>
        <v/>
      </c>
      <c r="D14" s="8" t="n">
        <v>2140000</v>
      </c>
      <c r="E14" s="8" t="n">
        <v>2140000</v>
      </c>
      <c r="F14" s="14">
        <f>IF($B14="","",C14-D14)</f>
        <v/>
      </c>
      <c r="G14" s="14">
        <f>IF($B14="","",D14-E14)</f>
        <v/>
      </c>
      <c r="H14" s="13">
        <f>IF($B14="","",IF(AND(F14=0,G14=0),"✔ 일치","✖ 확인 필요"))</f>
        <v/>
      </c>
    </row>
    <row r="15">
      <c r="A15" s="13">
        <f>IF(결산명세서!$B15="","",결산명세서!$A15)</f>
        <v/>
      </c>
      <c r="B15" s="12">
        <f>IF(결산명세서!$B15="","",결산명세서!$B15)</f>
        <v/>
      </c>
      <c r="C15" s="16">
        <f>IF($B15="","",결산명세서!$G15)</f>
        <v/>
      </c>
      <c r="D15" s="8" t="n">
        <v>1500000</v>
      </c>
      <c r="E15" s="8" t="n">
        <v>1500000</v>
      </c>
      <c r="F15" s="14">
        <f>IF($B15="","",C15-D15)</f>
        <v/>
      </c>
      <c r="G15" s="14">
        <f>IF($B15="","",D15-E15)</f>
        <v/>
      </c>
      <c r="H15" s="13">
        <f>IF($B15="","",IF(AND(F15=0,G15=0),"✔ 일치","✖ 확인 필요"))</f>
        <v/>
      </c>
    </row>
    <row r="16">
      <c r="A16" s="13">
        <f>IF(결산명세서!$B16="","",결산명세서!$A16)</f>
        <v/>
      </c>
      <c r="B16" s="12">
        <f>IF(결산명세서!$B16="","",결산명세서!$B16)</f>
        <v/>
      </c>
      <c r="C16" s="16">
        <f>IF($B16="","",결산명세서!$G16)</f>
        <v/>
      </c>
      <c r="D16" s="8" t="n">
        <v>20000000</v>
      </c>
      <c r="E16" s="8" t="n">
        <v>20000000</v>
      </c>
      <c r="F16" s="14">
        <f>IF($B16="","",C16-D16)</f>
        <v/>
      </c>
      <c r="G16" s="14">
        <f>IF($B16="","",D16-E16)</f>
        <v/>
      </c>
      <c r="H16" s="13">
        <f>IF($B16="","",IF(AND(F16=0,G16=0),"✔ 일치","✖ 확인 필요"))</f>
        <v/>
      </c>
    </row>
    <row r="17">
      <c r="A17" s="13">
        <f>IF(결산명세서!$B17="","",결산명세서!$A17)</f>
        <v/>
      </c>
      <c r="B17" s="12">
        <f>IF(결산명세서!$B17="","",결산명세서!$B17)</f>
        <v/>
      </c>
      <c r="C17" s="16">
        <f>IF($B17="","",결산명세서!$G17)</f>
        <v/>
      </c>
      <c r="D17" s="8" t="n"/>
      <c r="E17" s="8" t="n"/>
      <c r="F17" s="14">
        <f>IF($B17="","",C17-D17)</f>
        <v/>
      </c>
      <c r="G17" s="14">
        <f>IF($B17="","",D17-E17)</f>
        <v/>
      </c>
      <c r="H17" s="13">
        <f>IF($B17="","",IF(AND(F17=0,G17=0),"✔ 일치","✖ 확인 필요"))</f>
        <v/>
      </c>
    </row>
    <row r="18">
      <c r="A18" s="13">
        <f>IF(결산명세서!$B18="","",결산명세서!$A18)</f>
        <v/>
      </c>
      <c r="B18" s="12">
        <f>IF(결산명세서!$B18="","",결산명세서!$B18)</f>
        <v/>
      </c>
      <c r="C18" s="16">
        <f>IF($B18="","",결산명세서!$G18)</f>
        <v/>
      </c>
      <c r="D18" s="8" t="n"/>
      <c r="E18" s="8" t="n"/>
      <c r="F18" s="14">
        <f>IF($B18="","",C18-D18)</f>
        <v/>
      </c>
      <c r="G18" s="14">
        <f>IF($B18="","",D18-E18)</f>
        <v/>
      </c>
      <c r="H18" s="13">
        <f>IF($B18="","",IF(AND(F18=0,G18=0),"✔ 일치","✖ 확인 필요"))</f>
        <v/>
      </c>
    </row>
    <row r="19">
      <c r="A19" s="13">
        <f>IF(결산명세서!$B19="","",결산명세서!$A19)</f>
        <v/>
      </c>
      <c r="B19" s="12">
        <f>IF(결산명세서!$B19="","",결산명세서!$B19)</f>
        <v/>
      </c>
      <c r="C19" s="16">
        <f>IF($B19="","",결산명세서!$G19)</f>
        <v/>
      </c>
      <c r="D19" s="8" t="n"/>
      <c r="E19" s="8" t="n"/>
      <c r="F19" s="14">
        <f>IF($B19="","",C19-D19)</f>
        <v/>
      </c>
      <c r="G19" s="14">
        <f>IF($B19="","",D19-E19)</f>
        <v/>
      </c>
      <c r="H19" s="13">
        <f>IF($B19="","",IF(AND(F19=0,G19=0),"✔ 일치","✖ 확인 필요"))</f>
        <v/>
      </c>
    </row>
    <row r="20">
      <c r="A20" s="13">
        <f>IF(결산명세서!$B20="","",결산명세서!$A20)</f>
        <v/>
      </c>
      <c r="B20" s="12">
        <f>IF(결산명세서!$B20="","",결산명세서!$B20)</f>
        <v/>
      </c>
      <c r="C20" s="16">
        <f>IF($B20="","",결산명세서!$G20)</f>
        <v/>
      </c>
      <c r="D20" s="8" t="n"/>
      <c r="E20" s="8" t="n"/>
      <c r="F20" s="14">
        <f>IF($B20="","",C20-D20)</f>
        <v/>
      </c>
      <c r="G20" s="14">
        <f>IF($B20="","",D20-E20)</f>
        <v/>
      </c>
      <c r="H20" s="13">
        <f>IF($B20="","",IF(AND(F20=0,G20=0),"✔ 일치","✖ 확인 필요"))</f>
        <v/>
      </c>
    </row>
    <row r="21">
      <c r="A21" s="13">
        <f>IF(결산명세서!$B21="","",결산명세서!$A21)</f>
        <v/>
      </c>
      <c r="B21" s="12">
        <f>IF(결산명세서!$B21="","",결산명세서!$B21)</f>
        <v/>
      </c>
      <c r="C21" s="16">
        <f>IF($B21="","",결산명세서!$G21)</f>
        <v/>
      </c>
      <c r="D21" s="8" t="n"/>
      <c r="E21" s="8" t="n"/>
      <c r="F21" s="14">
        <f>IF($B21="","",C21-D21)</f>
        <v/>
      </c>
      <c r="G21" s="14">
        <f>IF($B21="","",D21-E21)</f>
        <v/>
      </c>
      <c r="H21" s="13">
        <f>IF($B21="","",IF(AND(F21=0,G21=0),"✔ 일치","✖ 확인 필요"))</f>
        <v/>
      </c>
    </row>
    <row r="22">
      <c r="A22" s="13">
        <f>IF(결산명세서!$B22="","",결산명세서!$A22)</f>
        <v/>
      </c>
      <c r="B22" s="12">
        <f>IF(결산명세서!$B22="","",결산명세서!$B22)</f>
        <v/>
      </c>
      <c r="C22" s="16">
        <f>IF($B22="","",결산명세서!$G22)</f>
        <v/>
      </c>
      <c r="D22" s="8" t="n"/>
      <c r="E22" s="8" t="n"/>
      <c r="F22" s="14">
        <f>IF($B22="","",C22-D22)</f>
        <v/>
      </c>
      <c r="G22" s="14">
        <f>IF($B22="","",D22-E22)</f>
        <v/>
      </c>
      <c r="H22" s="13">
        <f>IF($B22="","",IF(AND(F22=0,G22=0),"✔ 일치","✖ 확인 필요"))</f>
        <v/>
      </c>
    </row>
    <row r="23">
      <c r="A23" s="13">
        <f>IF(결산명세서!$B23="","",결산명세서!$A23)</f>
        <v/>
      </c>
      <c r="B23" s="12">
        <f>IF(결산명세서!$B23="","",결산명세서!$B23)</f>
        <v/>
      </c>
      <c r="C23" s="16">
        <f>IF($B23="","",결산명세서!$G23)</f>
        <v/>
      </c>
      <c r="D23" s="8" t="n"/>
      <c r="E23" s="8" t="n"/>
      <c r="F23" s="14">
        <f>IF($B23="","",C23-D23)</f>
        <v/>
      </c>
      <c r="G23" s="14">
        <f>IF($B23="","",D23-E23)</f>
        <v/>
      </c>
      <c r="H23" s="13">
        <f>IF($B23="","",IF(AND(F23=0,G23=0),"✔ 일치","✖ 확인 필요"))</f>
        <v/>
      </c>
    </row>
    <row r="24">
      <c r="A24" s="13">
        <f>IF(결산명세서!$B24="","",결산명세서!$A24)</f>
        <v/>
      </c>
      <c r="B24" s="12">
        <f>IF(결산명세서!$B24="","",결산명세서!$B24)</f>
        <v/>
      </c>
      <c r="C24" s="16">
        <f>IF($B24="","",결산명세서!$G24)</f>
        <v/>
      </c>
      <c r="D24" s="8" t="n"/>
      <c r="E24" s="8" t="n"/>
      <c r="F24" s="14">
        <f>IF($B24="","",C24-D24)</f>
        <v/>
      </c>
      <c r="G24" s="14">
        <f>IF($B24="","",D24-E24)</f>
        <v/>
      </c>
      <c r="H24" s="13">
        <f>IF($B24="","",IF(AND(F24=0,G24=0),"✔ 일치","✖ 확인 필요"))</f>
        <v/>
      </c>
    </row>
    <row r="25">
      <c r="A25" s="13">
        <f>IF(결산명세서!$B25="","",결산명세서!$A25)</f>
        <v/>
      </c>
      <c r="B25" s="12">
        <f>IF(결산명세서!$B25="","",결산명세서!$B25)</f>
        <v/>
      </c>
      <c r="C25" s="16">
        <f>IF($B25="","",결산명세서!$G25)</f>
        <v/>
      </c>
      <c r="D25" s="8" t="n"/>
      <c r="E25" s="8" t="n"/>
      <c r="F25" s="14">
        <f>IF($B25="","",C25-D25)</f>
        <v/>
      </c>
      <c r="G25" s="14">
        <f>IF($B25="","",D25-E25)</f>
        <v/>
      </c>
      <c r="H25" s="13">
        <f>IF($B25="","",IF(AND(F25=0,G25=0),"✔ 일치","✖ 확인 필요"))</f>
        <v/>
      </c>
    </row>
    <row r="26">
      <c r="A26" s="13">
        <f>IF(결산명세서!$B26="","",결산명세서!$A26)</f>
        <v/>
      </c>
      <c r="B26" s="12">
        <f>IF(결산명세서!$B26="","",결산명세서!$B26)</f>
        <v/>
      </c>
      <c r="C26" s="16">
        <f>IF($B26="","",결산명세서!$G26)</f>
        <v/>
      </c>
      <c r="D26" s="8" t="n"/>
      <c r="E26" s="8" t="n"/>
      <c r="F26" s="14">
        <f>IF($B26="","",C26-D26)</f>
        <v/>
      </c>
      <c r="G26" s="14">
        <f>IF($B26="","",D26-E26)</f>
        <v/>
      </c>
      <c r="H26" s="13">
        <f>IF($B26="","",IF(AND(F26=0,G26=0),"✔ 일치","✖ 확인 필요"))</f>
        <v/>
      </c>
    </row>
    <row r="27">
      <c r="A27" s="13">
        <f>IF(결산명세서!$B27="","",결산명세서!$A27)</f>
        <v/>
      </c>
      <c r="B27" s="12">
        <f>IF(결산명세서!$B27="","",결산명세서!$B27)</f>
        <v/>
      </c>
      <c r="C27" s="16">
        <f>IF($B27="","",결산명세서!$G27)</f>
        <v/>
      </c>
      <c r="D27" s="8" t="n"/>
      <c r="E27" s="8" t="n"/>
      <c r="F27" s="14">
        <f>IF($B27="","",C27-D27)</f>
        <v/>
      </c>
      <c r="G27" s="14">
        <f>IF($B27="","",D27-E27)</f>
        <v/>
      </c>
      <c r="H27" s="13">
        <f>IF($B27="","",IF(AND(F27=0,G27=0),"✔ 일치","✖ 확인 필요"))</f>
        <v/>
      </c>
    </row>
    <row r="28">
      <c r="A28" s="13">
        <f>IF(결산명세서!$B28="","",결산명세서!$A28)</f>
        <v/>
      </c>
      <c r="B28" s="12">
        <f>IF(결산명세서!$B28="","",결산명세서!$B28)</f>
        <v/>
      </c>
      <c r="C28" s="16">
        <f>IF($B28="","",결산명세서!$G28)</f>
        <v/>
      </c>
      <c r="D28" s="8" t="n"/>
      <c r="E28" s="8" t="n"/>
      <c r="F28" s="14">
        <f>IF($B28="","",C28-D28)</f>
        <v/>
      </c>
      <c r="G28" s="14">
        <f>IF($B28="","",D28-E28)</f>
        <v/>
      </c>
      <c r="H28" s="13">
        <f>IF($B28="","",IF(AND(F28=0,G28=0),"✔ 일치","✖ 확인 필요"))</f>
        <v/>
      </c>
    </row>
    <row r="29">
      <c r="A29" s="13">
        <f>IF(결산명세서!$B29="","",결산명세서!$A29)</f>
        <v/>
      </c>
      <c r="B29" s="12">
        <f>IF(결산명세서!$B29="","",결산명세서!$B29)</f>
        <v/>
      </c>
      <c r="C29" s="16">
        <f>IF($B29="","",결산명세서!$G29)</f>
        <v/>
      </c>
      <c r="D29" s="8" t="n"/>
      <c r="E29" s="8" t="n"/>
      <c r="F29" s="14">
        <f>IF($B29="","",C29-D29)</f>
        <v/>
      </c>
      <c r="G29" s="14">
        <f>IF($B29="","",D29-E29)</f>
        <v/>
      </c>
      <c r="H29" s="13">
        <f>IF($B29="","",IF(AND(F29=0,G29=0),"✔ 일치","✖ 확인 필요"))</f>
        <v/>
      </c>
    </row>
    <row r="30">
      <c r="A30" s="13">
        <f>IF(결산명세서!$B30="","",결산명세서!$A30)</f>
        <v/>
      </c>
      <c r="B30" s="12">
        <f>IF(결산명세서!$B30="","",결산명세서!$B30)</f>
        <v/>
      </c>
      <c r="C30" s="16">
        <f>IF($B30="","",결산명세서!$G30)</f>
        <v/>
      </c>
      <c r="D30" s="8" t="n"/>
      <c r="E30" s="8" t="n"/>
      <c r="F30" s="14">
        <f>IF($B30="","",C30-D30)</f>
        <v/>
      </c>
      <c r="G30" s="14">
        <f>IF($B30="","",D30-E30)</f>
        <v/>
      </c>
      <c r="H30" s="13">
        <f>IF($B30="","",IF(AND(F30=0,G30=0),"✔ 일치","✖ 확인 필요"))</f>
        <v/>
      </c>
    </row>
    <row r="31">
      <c r="A31" s="13">
        <f>IF(결산명세서!$B31="","",결산명세서!$A31)</f>
        <v/>
      </c>
      <c r="B31" s="12">
        <f>IF(결산명세서!$B31="","",결산명세서!$B31)</f>
        <v/>
      </c>
      <c r="C31" s="16">
        <f>IF($B31="","",결산명세서!$G31)</f>
        <v/>
      </c>
      <c r="D31" s="8" t="n"/>
      <c r="E31" s="8" t="n"/>
      <c r="F31" s="14">
        <f>IF($B31="","",C31-D31)</f>
        <v/>
      </c>
      <c r="G31" s="14">
        <f>IF($B31="","",D31-E31)</f>
        <v/>
      </c>
      <c r="H31" s="13">
        <f>IF($B31="","",IF(AND(F31=0,G31=0),"✔ 일치","✖ 확인 필요"))</f>
        <v/>
      </c>
    </row>
    <row r="32">
      <c r="A32" s="13">
        <f>IF(결산명세서!$B32="","",결산명세서!$A32)</f>
        <v/>
      </c>
      <c r="B32" s="12">
        <f>IF(결산명세서!$B32="","",결산명세서!$B32)</f>
        <v/>
      </c>
      <c r="C32" s="16">
        <f>IF($B32="","",결산명세서!$G32)</f>
        <v/>
      </c>
      <c r="D32" s="8" t="n"/>
      <c r="E32" s="8" t="n"/>
      <c r="F32" s="14">
        <f>IF($B32="","",C32-D32)</f>
        <v/>
      </c>
      <c r="G32" s="14">
        <f>IF($B32="","",D32-E32)</f>
        <v/>
      </c>
      <c r="H32" s="13">
        <f>IF($B32="","",IF(AND(F32=0,G32=0),"✔ 일치","✖ 확인 필요"))</f>
        <v/>
      </c>
    </row>
    <row r="33">
      <c r="A33" s="13">
        <f>IF(결산명세서!$B33="","",결산명세서!$A33)</f>
        <v/>
      </c>
      <c r="B33" s="12">
        <f>IF(결산명세서!$B33="","",결산명세서!$B33)</f>
        <v/>
      </c>
      <c r="C33" s="16">
        <f>IF($B33="","",결산명세서!$G33)</f>
        <v/>
      </c>
      <c r="D33" s="8" t="n"/>
      <c r="E33" s="8" t="n"/>
      <c r="F33" s="14">
        <f>IF($B33="","",C33-D33)</f>
        <v/>
      </c>
      <c r="G33" s="14">
        <f>IF($B33="","",D33-E33)</f>
        <v/>
      </c>
      <c r="H33" s="13">
        <f>IF($B33="","",IF(AND(F33=0,G33=0),"✔ 일치","✖ 확인 필요"))</f>
        <v/>
      </c>
    </row>
    <row r="34">
      <c r="A34" s="13">
        <f>IF(결산명세서!$B34="","",결산명세서!$A34)</f>
        <v/>
      </c>
      <c r="B34" s="12">
        <f>IF(결산명세서!$B34="","",결산명세서!$B34)</f>
        <v/>
      </c>
      <c r="C34" s="16">
        <f>IF($B34="","",결산명세서!$G34)</f>
        <v/>
      </c>
      <c r="D34" s="8" t="n"/>
      <c r="E34" s="8" t="n"/>
      <c r="F34" s="14">
        <f>IF($B34="","",C34-D34)</f>
        <v/>
      </c>
      <c r="G34" s="14">
        <f>IF($B34="","",D34-E34)</f>
        <v/>
      </c>
      <c r="H34" s="13">
        <f>IF($B34="","",IF(AND(F34=0,G34=0),"✔ 일치","✖ 확인 필요"))</f>
        <v/>
      </c>
    </row>
    <row r="35">
      <c r="A35" s="13">
        <f>IF(결산명세서!$B35="","",결산명세서!$A35)</f>
        <v/>
      </c>
      <c r="B35" s="12">
        <f>IF(결산명세서!$B35="","",결산명세서!$B35)</f>
        <v/>
      </c>
      <c r="C35" s="16">
        <f>IF($B35="","",결산명세서!$G35)</f>
        <v/>
      </c>
      <c r="D35" s="8" t="n"/>
      <c r="E35" s="8" t="n"/>
      <c r="F35" s="14">
        <f>IF($B35="","",C35-D35)</f>
        <v/>
      </c>
      <c r="G35" s="14">
        <f>IF($B35="","",D35-E35)</f>
        <v/>
      </c>
      <c r="H35" s="13">
        <f>IF($B35="","",IF(AND(F35=0,G35=0),"✔ 일치","✖ 확인 필요"))</f>
        <v/>
      </c>
    </row>
    <row r="36">
      <c r="A36" s="13">
        <f>IF(결산명세서!$B36="","",결산명세서!$A36)</f>
        <v/>
      </c>
      <c r="B36" s="12">
        <f>IF(결산명세서!$B36="","",결산명세서!$B36)</f>
        <v/>
      </c>
      <c r="C36" s="16">
        <f>IF($B36="","",결산명세서!$G36)</f>
        <v/>
      </c>
      <c r="D36" s="8" t="n"/>
      <c r="E36" s="8" t="n"/>
      <c r="F36" s="14">
        <f>IF($B36="","",C36-D36)</f>
        <v/>
      </c>
      <c r="G36" s="14">
        <f>IF($B36="","",D36-E36)</f>
        <v/>
      </c>
      <c r="H36" s="13">
        <f>IF($B36="","",IF(AND(F36=0,G36=0),"✔ 일치","✖ 확인 필요"))</f>
        <v/>
      </c>
    </row>
    <row r="37">
      <c r="A37" s="13">
        <f>IF(결산명세서!$B37="","",결산명세서!$A37)</f>
        <v/>
      </c>
      <c r="B37" s="12">
        <f>IF(결산명세서!$B37="","",결산명세서!$B37)</f>
        <v/>
      </c>
      <c r="C37" s="16">
        <f>IF($B37="","",결산명세서!$G37)</f>
        <v/>
      </c>
      <c r="D37" s="8" t="n"/>
      <c r="E37" s="8" t="n"/>
      <c r="F37" s="14">
        <f>IF($B37="","",C37-D37)</f>
        <v/>
      </c>
      <c r="G37" s="14">
        <f>IF($B37="","",D37-E37)</f>
        <v/>
      </c>
      <c r="H37" s="13">
        <f>IF($B37="","",IF(AND(F37=0,G37=0),"✔ 일치","✖ 확인 필요"))</f>
        <v/>
      </c>
    </row>
    <row r="38">
      <c r="A38" s="13">
        <f>IF(결산명세서!$B38="","",결산명세서!$A38)</f>
        <v/>
      </c>
      <c r="B38" s="12">
        <f>IF(결산명세서!$B38="","",결산명세서!$B38)</f>
        <v/>
      </c>
      <c r="C38" s="16">
        <f>IF($B38="","",결산명세서!$G38)</f>
        <v/>
      </c>
      <c r="D38" s="8" t="n"/>
      <c r="E38" s="8" t="n"/>
      <c r="F38" s="14">
        <f>IF($B38="","",C38-D38)</f>
        <v/>
      </c>
      <c r="G38" s="14">
        <f>IF($B38="","",D38-E38)</f>
        <v/>
      </c>
      <c r="H38" s="13">
        <f>IF($B38="","",IF(AND(F38=0,G38=0),"✔ 일치","✖ 확인 필요"))</f>
        <v/>
      </c>
    </row>
    <row r="39">
      <c r="A39" s="13">
        <f>IF(결산명세서!$B39="","",결산명세서!$A39)</f>
        <v/>
      </c>
      <c r="B39" s="12">
        <f>IF(결산명세서!$B39="","",결산명세서!$B39)</f>
        <v/>
      </c>
      <c r="C39" s="16">
        <f>IF($B39="","",결산명세서!$G39)</f>
        <v/>
      </c>
      <c r="D39" s="8" t="n"/>
      <c r="E39" s="8" t="n"/>
      <c r="F39" s="14">
        <f>IF($B39="","",C39-D39)</f>
        <v/>
      </c>
      <c r="G39" s="14">
        <f>IF($B39="","",D39-E39)</f>
        <v/>
      </c>
      <c r="H39" s="13">
        <f>IF($B39="","",IF(AND(F39=0,G39=0),"✔ 일치","✖ 확인 필요"))</f>
        <v/>
      </c>
    </row>
    <row r="40">
      <c r="A40" s="13">
        <f>IF(결산명세서!$B40="","",결산명세서!$A40)</f>
        <v/>
      </c>
      <c r="B40" s="12">
        <f>IF(결산명세서!$B40="","",결산명세서!$B40)</f>
        <v/>
      </c>
      <c r="C40" s="16">
        <f>IF($B40="","",결산명세서!$G40)</f>
        <v/>
      </c>
      <c r="D40" s="8" t="n"/>
      <c r="E40" s="8" t="n"/>
      <c r="F40" s="14">
        <f>IF($B40="","",C40-D40)</f>
        <v/>
      </c>
      <c r="G40" s="14">
        <f>IF($B40="","",D40-E40)</f>
        <v/>
      </c>
      <c r="H40" s="13">
        <f>IF($B40="","",IF(AND(F40=0,G40=0),"✔ 일치","✖ 확인 필요"))</f>
        <v/>
      </c>
    </row>
    <row r="41">
      <c r="A41" s="13">
        <f>IF(결산명세서!$B41="","",결산명세서!$A41)</f>
        <v/>
      </c>
      <c r="B41" s="12">
        <f>IF(결산명세서!$B41="","",결산명세서!$B41)</f>
        <v/>
      </c>
      <c r="C41" s="16">
        <f>IF($B41="","",결산명세서!$G41)</f>
        <v/>
      </c>
      <c r="D41" s="8" t="n"/>
      <c r="E41" s="8" t="n"/>
      <c r="F41" s="14">
        <f>IF($B41="","",C41-D41)</f>
        <v/>
      </c>
      <c r="G41" s="14">
        <f>IF($B41="","",D41-E41)</f>
        <v/>
      </c>
      <c r="H41" s="13">
        <f>IF($B41="","",IF(AND(F41=0,G41=0),"✔ 일치","✖ 확인 필요"))</f>
        <v/>
      </c>
    </row>
    <row r="42">
      <c r="A42" s="13">
        <f>IF(결산명세서!$B42="","",결산명세서!$A42)</f>
        <v/>
      </c>
      <c r="B42" s="12">
        <f>IF(결산명세서!$B42="","",결산명세서!$B42)</f>
        <v/>
      </c>
      <c r="C42" s="16">
        <f>IF($B42="","",결산명세서!$G42)</f>
        <v/>
      </c>
      <c r="D42" s="8" t="n"/>
      <c r="E42" s="8" t="n"/>
      <c r="F42" s="14">
        <f>IF($B42="","",C42-D42)</f>
        <v/>
      </c>
      <c r="G42" s="14">
        <f>IF($B42="","",D42-E42)</f>
        <v/>
      </c>
      <c r="H42" s="13">
        <f>IF($B42="","",IF(AND(F42=0,G42=0),"✔ 일치","✖ 확인 필요"))</f>
        <v/>
      </c>
    </row>
    <row r="43">
      <c r="A43" s="13">
        <f>IF(결산명세서!$B43="","",결산명세서!$A43)</f>
        <v/>
      </c>
      <c r="B43" s="12">
        <f>IF(결산명세서!$B43="","",결산명세서!$B43)</f>
        <v/>
      </c>
      <c r="C43" s="16">
        <f>IF($B43="","",결산명세서!$G43)</f>
        <v/>
      </c>
      <c r="D43" s="8" t="n"/>
      <c r="E43" s="8" t="n"/>
      <c r="F43" s="14">
        <f>IF($B43="","",C43-D43)</f>
        <v/>
      </c>
      <c r="G43" s="14">
        <f>IF($B43="","",D43-E43)</f>
        <v/>
      </c>
      <c r="H43" s="13">
        <f>IF($B43="","",IF(AND(F43=0,G43=0),"✔ 일치","✖ 확인 필요"))</f>
        <v/>
      </c>
    </row>
    <row r="44">
      <c r="A44" s="13">
        <f>IF(결산명세서!$B44="","",결산명세서!$A44)</f>
        <v/>
      </c>
      <c r="B44" s="12">
        <f>IF(결산명세서!$B44="","",결산명세서!$B44)</f>
        <v/>
      </c>
      <c r="C44" s="16">
        <f>IF($B44="","",결산명세서!$G44)</f>
        <v/>
      </c>
      <c r="D44" s="8" t="n"/>
      <c r="E44" s="8" t="n"/>
      <c r="F44" s="14">
        <f>IF($B44="","",C44-D44)</f>
        <v/>
      </c>
      <c r="G44" s="14">
        <f>IF($B44="","",D44-E44)</f>
        <v/>
      </c>
      <c r="H44" s="13">
        <f>IF($B44="","",IF(AND(F44=0,G44=0),"✔ 일치","✖ 확인 필요"))</f>
        <v/>
      </c>
    </row>
    <row r="45">
      <c r="B45" s="17" t="inlineStr">
        <is>
          <t>종합 판정</t>
        </is>
      </c>
      <c r="H45" s="18">
        <f>IF(COUNTIF(H5:H44,"✖ 확인 필요")=0,"✔ 전체 일치","✖ 불일치 "&amp;COUNTIF(H5:H44,"✖ 확인 필요")&amp;"건")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22"/>
  <sheetViews>
    <sheetView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30" customWidth="1" min="3" max="3"/>
    <col width="14" customWidth="1" min="4" max="4"/>
    <col width="14" customWidth="1" min="5" max="5"/>
  </cols>
  <sheetData>
    <row r="1">
      <c r="A1" s="19" t="inlineStr">
        <is>
          <t>결산 조정 명세서 (계정별 인쇄용) — 계정은 자동으로 채워집니다</t>
        </is>
      </c>
    </row>
    <row r="2">
      <c r="A2" s="5" t="inlineStr">
        <is>
          <t>■ 인쇄: Ctrl+P → 페이지 범위를 계정 수만큼 지정 (계정 없는 뒤쪽 페이지는 비어 있음)</t>
        </is>
      </c>
    </row>
    <row r="3"/>
    <row r="4">
      <c r="A4" s="20">
        <f>IF($B5="","","결산 조정 명세서")</f>
        <v/>
      </c>
      <c r="E4" s="5">
        <f>IF($B5="","","대상 월: 2026-09")</f>
        <v/>
      </c>
    </row>
    <row r="5">
      <c r="A5" s="3">
        <f>IF($B5="","","계정과목:")</f>
        <v/>
      </c>
      <c r="B5" s="3">
        <f>IFERROR(INDEX(결산명세서!$B$5:$B$44,1),"")</f>
        <v/>
      </c>
      <c r="D5" s="3">
        <f>IF($B5="","","당월 잔액:")</f>
        <v/>
      </c>
      <c r="E5" s="21">
        <f>IF($B5="","",INDEX(결산명세서!$G$5:$G$44,1))</f>
        <v/>
      </c>
    </row>
    <row r="6">
      <c r="A6" s="6">
        <f>IF($B5="","","날짜")</f>
        <v/>
      </c>
      <c r="B6" s="6">
        <f>IF($B5="","","거래처")</f>
        <v/>
      </c>
      <c r="C6" s="6">
        <f>IF($B5="","","적요")</f>
        <v/>
      </c>
      <c r="D6" s="6">
        <f>IF($B5="","","차변")</f>
        <v/>
      </c>
      <c r="E6" s="6">
        <f>IF($B5="","","대변")</f>
        <v/>
      </c>
    </row>
    <row r="7">
      <c r="A7" s="12">
        <f>IF($B5="","",IFERROR(INDEX(원장입력!$A$5:$A$204,MATCH($B5&amp;"#1",원장입력!$G$5:$G$204,0)),""))</f>
        <v/>
      </c>
      <c r="B7" s="12">
        <f>IF($B5="","",IFERROR(INDEX(원장입력!$C$5:$C$204,MATCH($B5&amp;"#1",원장입력!$G$5:$G$204,0)),""))</f>
        <v/>
      </c>
      <c r="C7" s="12">
        <f>IF($B5="","",IFERROR(INDEX(원장입력!$D$5:$D$204,MATCH($B5&amp;"#1",원장입력!$G$5:$G$204,0)),""))</f>
        <v/>
      </c>
      <c r="D7" s="14">
        <f>IF($B5="","",IFERROR(INDEX(원장입력!$E$5:$E$204,MATCH($B5&amp;"#1",원장입력!$G$5:$G$204,0)),""))</f>
        <v/>
      </c>
      <c r="E7" s="14">
        <f>IF($B5="","",IFERROR(INDEX(원장입력!$F$5:$F$204,MATCH($B5&amp;"#1",원장입력!$G$5:$G$204,0)),""))</f>
        <v/>
      </c>
    </row>
    <row r="8">
      <c r="A8" s="12">
        <f>IF($B5="","",IFERROR(INDEX(원장입력!$A$5:$A$204,MATCH($B5&amp;"#2",원장입력!$G$5:$G$204,0)),""))</f>
        <v/>
      </c>
      <c r="B8" s="12">
        <f>IF($B5="","",IFERROR(INDEX(원장입력!$C$5:$C$204,MATCH($B5&amp;"#2",원장입력!$G$5:$G$204,0)),""))</f>
        <v/>
      </c>
      <c r="C8" s="12">
        <f>IF($B5="","",IFERROR(INDEX(원장입력!$D$5:$D$204,MATCH($B5&amp;"#2",원장입력!$G$5:$G$204,0)),""))</f>
        <v/>
      </c>
      <c r="D8" s="14">
        <f>IF($B5="","",IFERROR(INDEX(원장입력!$E$5:$E$204,MATCH($B5&amp;"#2",원장입력!$G$5:$G$204,0)),""))</f>
        <v/>
      </c>
      <c r="E8" s="14">
        <f>IF($B5="","",IFERROR(INDEX(원장입력!$F$5:$F$204,MATCH($B5&amp;"#2",원장입력!$G$5:$G$204,0)),""))</f>
        <v/>
      </c>
    </row>
    <row r="9">
      <c r="A9" s="12">
        <f>IF($B5="","",IFERROR(INDEX(원장입력!$A$5:$A$204,MATCH($B5&amp;"#3",원장입력!$G$5:$G$204,0)),""))</f>
        <v/>
      </c>
      <c r="B9" s="12">
        <f>IF($B5="","",IFERROR(INDEX(원장입력!$C$5:$C$204,MATCH($B5&amp;"#3",원장입력!$G$5:$G$204,0)),""))</f>
        <v/>
      </c>
      <c r="C9" s="12">
        <f>IF($B5="","",IFERROR(INDEX(원장입력!$D$5:$D$204,MATCH($B5&amp;"#3",원장입력!$G$5:$G$204,0)),""))</f>
        <v/>
      </c>
      <c r="D9" s="14">
        <f>IF($B5="","",IFERROR(INDEX(원장입력!$E$5:$E$204,MATCH($B5&amp;"#3",원장입력!$G$5:$G$204,0)),""))</f>
        <v/>
      </c>
      <c r="E9" s="14">
        <f>IF($B5="","",IFERROR(INDEX(원장입력!$F$5:$F$204,MATCH($B5&amp;"#3",원장입력!$G$5:$G$204,0)),""))</f>
        <v/>
      </c>
    </row>
    <row r="10">
      <c r="A10" s="12">
        <f>IF($B5="","",IFERROR(INDEX(원장입력!$A$5:$A$204,MATCH($B5&amp;"#4",원장입력!$G$5:$G$204,0)),""))</f>
        <v/>
      </c>
      <c r="B10" s="12">
        <f>IF($B5="","",IFERROR(INDEX(원장입력!$C$5:$C$204,MATCH($B5&amp;"#4",원장입력!$G$5:$G$204,0)),""))</f>
        <v/>
      </c>
      <c r="C10" s="12">
        <f>IF($B5="","",IFERROR(INDEX(원장입력!$D$5:$D$204,MATCH($B5&amp;"#4",원장입력!$G$5:$G$204,0)),""))</f>
        <v/>
      </c>
      <c r="D10" s="14">
        <f>IF($B5="","",IFERROR(INDEX(원장입력!$E$5:$E$204,MATCH($B5&amp;"#4",원장입력!$G$5:$G$204,0)),""))</f>
        <v/>
      </c>
      <c r="E10" s="14">
        <f>IF($B5="","",IFERROR(INDEX(원장입력!$F$5:$F$204,MATCH($B5&amp;"#4",원장입력!$G$5:$G$204,0)),""))</f>
        <v/>
      </c>
    </row>
    <row r="11">
      <c r="A11" s="12">
        <f>IF($B5="","",IFERROR(INDEX(원장입력!$A$5:$A$204,MATCH($B5&amp;"#5",원장입력!$G$5:$G$204,0)),""))</f>
        <v/>
      </c>
      <c r="B11" s="12">
        <f>IF($B5="","",IFERROR(INDEX(원장입력!$C$5:$C$204,MATCH($B5&amp;"#5",원장입력!$G$5:$G$204,0)),""))</f>
        <v/>
      </c>
      <c r="C11" s="12">
        <f>IF($B5="","",IFERROR(INDEX(원장입력!$D$5:$D$204,MATCH($B5&amp;"#5",원장입력!$G$5:$G$204,0)),""))</f>
        <v/>
      </c>
      <c r="D11" s="14">
        <f>IF($B5="","",IFERROR(INDEX(원장입력!$E$5:$E$204,MATCH($B5&amp;"#5",원장입력!$G$5:$G$204,0)),""))</f>
        <v/>
      </c>
      <c r="E11" s="14">
        <f>IF($B5="","",IFERROR(INDEX(원장입력!$F$5:$F$204,MATCH($B5&amp;"#5",원장입력!$G$5:$G$204,0)),""))</f>
        <v/>
      </c>
    </row>
    <row r="12">
      <c r="A12" s="12">
        <f>IF($B5="","",IFERROR(INDEX(원장입력!$A$5:$A$204,MATCH($B5&amp;"#6",원장입력!$G$5:$G$204,0)),""))</f>
        <v/>
      </c>
      <c r="B12" s="12">
        <f>IF($B5="","",IFERROR(INDEX(원장입력!$C$5:$C$204,MATCH($B5&amp;"#6",원장입력!$G$5:$G$204,0)),""))</f>
        <v/>
      </c>
      <c r="C12" s="12">
        <f>IF($B5="","",IFERROR(INDEX(원장입력!$D$5:$D$204,MATCH($B5&amp;"#6",원장입력!$G$5:$G$204,0)),""))</f>
        <v/>
      </c>
      <c r="D12" s="14">
        <f>IF($B5="","",IFERROR(INDEX(원장입력!$E$5:$E$204,MATCH($B5&amp;"#6",원장입력!$G$5:$G$204,0)),""))</f>
        <v/>
      </c>
      <c r="E12" s="14">
        <f>IF($B5="","",IFERROR(INDEX(원장입력!$F$5:$F$204,MATCH($B5&amp;"#6",원장입력!$G$5:$G$204,0)),""))</f>
        <v/>
      </c>
    </row>
    <row r="13">
      <c r="A13" s="12">
        <f>IF($B5="","",IFERROR(INDEX(원장입력!$A$5:$A$204,MATCH($B5&amp;"#7",원장입력!$G$5:$G$204,0)),""))</f>
        <v/>
      </c>
      <c r="B13" s="12">
        <f>IF($B5="","",IFERROR(INDEX(원장입력!$C$5:$C$204,MATCH($B5&amp;"#7",원장입력!$G$5:$G$204,0)),""))</f>
        <v/>
      </c>
      <c r="C13" s="12">
        <f>IF($B5="","",IFERROR(INDEX(원장입력!$D$5:$D$204,MATCH($B5&amp;"#7",원장입력!$G$5:$G$204,0)),""))</f>
        <v/>
      </c>
      <c r="D13" s="14">
        <f>IF($B5="","",IFERROR(INDEX(원장입력!$E$5:$E$204,MATCH($B5&amp;"#7",원장입력!$G$5:$G$204,0)),""))</f>
        <v/>
      </c>
      <c r="E13" s="14">
        <f>IF($B5="","",IFERROR(INDEX(원장입력!$F$5:$F$204,MATCH($B5&amp;"#7",원장입력!$G$5:$G$204,0)),""))</f>
        <v/>
      </c>
    </row>
    <row r="14">
      <c r="A14" s="12">
        <f>IF($B5="","",IFERROR(INDEX(원장입력!$A$5:$A$204,MATCH($B5&amp;"#8",원장입력!$G$5:$G$204,0)),""))</f>
        <v/>
      </c>
      <c r="B14" s="12">
        <f>IF($B5="","",IFERROR(INDEX(원장입력!$C$5:$C$204,MATCH($B5&amp;"#8",원장입력!$G$5:$G$204,0)),""))</f>
        <v/>
      </c>
      <c r="C14" s="12">
        <f>IF($B5="","",IFERROR(INDEX(원장입력!$D$5:$D$204,MATCH($B5&amp;"#8",원장입력!$G$5:$G$204,0)),""))</f>
        <v/>
      </c>
      <c r="D14" s="14">
        <f>IF($B5="","",IFERROR(INDEX(원장입력!$E$5:$E$204,MATCH($B5&amp;"#8",원장입력!$G$5:$G$204,0)),""))</f>
        <v/>
      </c>
      <c r="E14" s="14">
        <f>IF($B5="","",IFERROR(INDEX(원장입력!$F$5:$F$204,MATCH($B5&amp;"#8",원장입력!$G$5:$G$204,0)),""))</f>
        <v/>
      </c>
    </row>
    <row r="15">
      <c r="A15" s="12">
        <f>IF($B5="","",IFERROR(INDEX(원장입력!$A$5:$A$204,MATCH($B5&amp;"#9",원장입력!$G$5:$G$204,0)),""))</f>
        <v/>
      </c>
      <c r="B15" s="12">
        <f>IF($B5="","",IFERROR(INDEX(원장입력!$C$5:$C$204,MATCH($B5&amp;"#9",원장입력!$G$5:$G$204,0)),""))</f>
        <v/>
      </c>
      <c r="C15" s="12">
        <f>IF($B5="","",IFERROR(INDEX(원장입력!$D$5:$D$204,MATCH($B5&amp;"#9",원장입력!$G$5:$G$204,0)),""))</f>
        <v/>
      </c>
      <c r="D15" s="14">
        <f>IF($B5="","",IFERROR(INDEX(원장입력!$E$5:$E$204,MATCH($B5&amp;"#9",원장입력!$G$5:$G$204,0)),""))</f>
        <v/>
      </c>
      <c r="E15" s="14">
        <f>IF($B5="","",IFERROR(INDEX(원장입력!$F$5:$F$204,MATCH($B5&amp;"#9",원장입력!$G$5:$G$204,0)),""))</f>
        <v/>
      </c>
    </row>
    <row r="16">
      <c r="A16" s="12">
        <f>IF($B5="","",IFERROR(INDEX(원장입력!$A$5:$A$204,MATCH($B5&amp;"#10",원장입력!$G$5:$G$204,0)),""))</f>
        <v/>
      </c>
      <c r="B16" s="12">
        <f>IF($B5="","",IFERROR(INDEX(원장입력!$C$5:$C$204,MATCH($B5&amp;"#10",원장입력!$G$5:$G$204,0)),""))</f>
        <v/>
      </c>
      <c r="C16" s="12">
        <f>IF($B5="","",IFERROR(INDEX(원장입력!$D$5:$D$204,MATCH($B5&amp;"#10",원장입력!$G$5:$G$204,0)),""))</f>
        <v/>
      </c>
      <c r="D16" s="14">
        <f>IF($B5="","",IFERROR(INDEX(원장입력!$E$5:$E$204,MATCH($B5&amp;"#10",원장입력!$G$5:$G$204,0)),""))</f>
        <v/>
      </c>
      <c r="E16" s="14">
        <f>IF($B5="","",IFERROR(INDEX(원장입력!$F$5:$F$204,MATCH($B5&amp;"#10",원장입력!$G$5:$G$204,0)),""))</f>
        <v/>
      </c>
    </row>
    <row r="17">
      <c r="A17" s="12">
        <f>IF($B5="","",IFERROR(INDEX(원장입력!$A$5:$A$204,MATCH($B5&amp;"#11",원장입력!$G$5:$G$204,0)),""))</f>
        <v/>
      </c>
      <c r="B17" s="12">
        <f>IF($B5="","",IFERROR(INDEX(원장입력!$C$5:$C$204,MATCH($B5&amp;"#11",원장입력!$G$5:$G$204,0)),""))</f>
        <v/>
      </c>
      <c r="C17" s="12">
        <f>IF($B5="","",IFERROR(INDEX(원장입력!$D$5:$D$204,MATCH($B5&amp;"#11",원장입력!$G$5:$G$204,0)),""))</f>
        <v/>
      </c>
      <c r="D17" s="14">
        <f>IF($B5="","",IFERROR(INDEX(원장입력!$E$5:$E$204,MATCH($B5&amp;"#11",원장입력!$G$5:$G$204,0)),""))</f>
        <v/>
      </c>
      <c r="E17" s="14">
        <f>IF($B5="","",IFERROR(INDEX(원장입력!$F$5:$F$204,MATCH($B5&amp;"#11",원장입력!$G$5:$G$204,0)),""))</f>
        <v/>
      </c>
    </row>
    <row r="18">
      <c r="A18" s="12">
        <f>IF($B5="","",IFERROR(INDEX(원장입력!$A$5:$A$204,MATCH($B5&amp;"#12",원장입력!$G$5:$G$204,0)),""))</f>
        <v/>
      </c>
      <c r="B18" s="12">
        <f>IF($B5="","",IFERROR(INDEX(원장입력!$C$5:$C$204,MATCH($B5&amp;"#12",원장입력!$G$5:$G$204,0)),""))</f>
        <v/>
      </c>
      <c r="C18" s="12">
        <f>IF($B5="","",IFERROR(INDEX(원장입력!$D$5:$D$204,MATCH($B5&amp;"#12",원장입력!$G$5:$G$204,0)),""))</f>
        <v/>
      </c>
      <c r="D18" s="14">
        <f>IF($B5="","",IFERROR(INDEX(원장입력!$E$5:$E$204,MATCH($B5&amp;"#12",원장입력!$G$5:$G$204,0)),""))</f>
        <v/>
      </c>
      <c r="E18" s="14">
        <f>IF($B5="","",IFERROR(INDEX(원장입력!$F$5:$F$204,MATCH($B5&amp;"#12",원장입력!$G$5:$G$204,0)),""))</f>
        <v/>
      </c>
    </row>
    <row r="19">
      <c r="A19" s="12">
        <f>IF($B5="","",IFERROR(INDEX(원장입력!$A$5:$A$204,MATCH($B5&amp;"#13",원장입력!$G$5:$G$204,0)),""))</f>
        <v/>
      </c>
      <c r="B19" s="12">
        <f>IF($B5="","",IFERROR(INDEX(원장입력!$C$5:$C$204,MATCH($B5&amp;"#13",원장입력!$G$5:$G$204,0)),""))</f>
        <v/>
      </c>
      <c r="C19" s="12">
        <f>IF($B5="","",IFERROR(INDEX(원장입력!$D$5:$D$204,MATCH($B5&amp;"#13",원장입력!$G$5:$G$204,0)),""))</f>
        <v/>
      </c>
      <c r="D19" s="14">
        <f>IF($B5="","",IFERROR(INDEX(원장입력!$E$5:$E$204,MATCH($B5&amp;"#13",원장입력!$G$5:$G$204,0)),""))</f>
        <v/>
      </c>
      <c r="E19" s="14">
        <f>IF($B5="","",IFERROR(INDEX(원장입력!$F$5:$F$204,MATCH($B5&amp;"#13",원장입력!$G$5:$G$204,0)),""))</f>
        <v/>
      </c>
    </row>
    <row r="20">
      <c r="A20" s="12">
        <f>IF($B5="","",IFERROR(INDEX(원장입력!$A$5:$A$204,MATCH($B5&amp;"#14",원장입력!$G$5:$G$204,0)),""))</f>
        <v/>
      </c>
      <c r="B20" s="12">
        <f>IF($B5="","",IFERROR(INDEX(원장입력!$C$5:$C$204,MATCH($B5&amp;"#14",원장입력!$G$5:$G$204,0)),""))</f>
        <v/>
      </c>
      <c r="C20" s="12">
        <f>IF($B5="","",IFERROR(INDEX(원장입력!$D$5:$D$204,MATCH($B5&amp;"#14",원장입력!$G$5:$G$204,0)),""))</f>
        <v/>
      </c>
      <c r="D20" s="14">
        <f>IF($B5="","",IFERROR(INDEX(원장입력!$E$5:$E$204,MATCH($B5&amp;"#14",원장입력!$G$5:$G$204,0)),""))</f>
        <v/>
      </c>
      <c r="E20" s="14">
        <f>IF($B5="","",IFERROR(INDEX(원장입력!$F$5:$F$204,MATCH($B5&amp;"#14",원장입력!$G$5:$G$204,0)),""))</f>
        <v/>
      </c>
    </row>
    <row r="21">
      <c r="A21" s="12">
        <f>IF($B5="","",IFERROR(INDEX(원장입력!$A$5:$A$204,MATCH($B5&amp;"#15",원장입력!$G$5:$G$204,0)),""))</f>
        <v/>
      </c>
      <c r="B21" s="12">
        <f>IF($B5="","",IFERROR(INDEX(원장입력!$C$5:$C$204,MATCH($B5&amp;"#15",원장입력!$G$5:$G$204,0)),""))</f>
        <v/>
      </c>
      <c r="C21" s="12">
        <f>IF($B5="","",IFERROR(INDEX(원장입력!$D$5:$D$204,MATCH($B5&amp;"#15",원장입력!$G$5:$G$204,0)),""))</f>
        <v/>
      </c>
      <c r="D21" s="14">
        <f>IF($B5="","",IFERROR(INDEX(원장입력!$E$5:$E$204,MATCH($B5&amp;"#15",원장입력!$G$5:$G$204,0)),""))</f>
        <v/>
      </c>
      <c r="E21" s="14">
        <f>IF($B5="","",IFERROR(INDEX(원장입력!$F$5:$F$204,MATCH($B5&amp;"#15",원장입력!$G$5:$G$204,0)),""))</f>
        <v/>
      </c>
    </row>
    <row r="22">
      <c r="C22" s="17">
        <f>IF($B5="","","원장 합계")</f>
        <v/>
      </c>
      <c r="D22" s="14">
        <f>IF($B5="","",SUMIFS(원장입력!$E$5:$E$204,원장입력!$B$5:$B$204,$B5))</f>
        <v/>
      </c>
      <c r="E22" s="14">
        <f>IF($B5="","",SUMIFS(원장입력!$F$5:$F$204,원장입력!$B$5:$B$204,$B5))</f>
        <v/>
      </c>
    </row>
    <row r="23">
      <c r="C23" s="17">
        <f>IF($B5="","","결산 조정")</f>
        <v/>
      </c>
      <c r="D23" s="14">
        <f>IF($B5="","",SUMIFS(결산조정!$B$5:$B$104,결산조정!$A$5:$A$104,$B5))</f>
        <v/>
      </c>
      <c r="E23" s="14">
        <f>IF($B5="","",SUMIFS(결산조정!$C$5:$C$104,결산조정!$A$5:$A$104,$B5))</f>
        <v/>
      </c>
    </row>
    <row r="24"/>
    <row r="25">
      <c r="A25" s="20">
        <f>IF($B26="","","결산 조정 명세서")</f>
        <v/>
      </c>
      <c r="E25" s="5">
        <f>IF($B26="","","대상 월: 2026-09")</f>
        <v/>
      </c>
    </row>
    <row r="26">
      <c r="A26" s="3">
        <f>IF($B26="","","계정과목:")</f>
        <v/>
      </c>
      <c r="B26" s="3">
        <f>IFERROR(INDEX(결산명세서!$B$5:$B$44,2),"")</f>
        <v/>
      </c>
      <c r="D26" s="3">
        <f>IF($B26="","","당월 잔액:")</f>
        <v/>
      </c>
      <c r="E26" s="21">
        <f>IF($B26="","",INDEX(결산명세서!$G$5:$G$44,2))</f>
        <v/>
      </c>
    </row>
    <row r="27">
      <c r="A27" s="6">
        <f>IF($B26="","","날짜")</f>
        <v/>
      </c>
      <c r="B27" s="6">
        <f>IF($B26="","","거래처")</f>
        <v/>
      </c>
      <c r="C27" s="6">
        <f>IF($B26="","","적요")</f>
        <v/>
      </c>
      <c r="D27" s="6">
        <f>IF($B26="","","차변")</f>
        <v/>
      </c>
      <c r="E27" s="6">
        <f>IF($B26="","","대변")</f>
        <v/>
      </c>
    </row>
    <row r="28">
      <c r="A28" s="12">
        <f>IF($B26="","",IFERROR(INDEX(원장입력!$A$5:$A$204,MATCH($B26&amp;"#1",원장입력!$G$5:$G$204,0)),""))</f>
        <v/>
      </c>
      <c r="B28" s="12">
        <f>IF($B26="","",IFERROR(INDEX(원장입력!$C$5:$C$204,MATCH($B26&amp;"#1",원장입력!$G$5:$G$204,0)),""))</f>
        <v/>
      </c>
      <c r="C28" s="12">
        <f>IF($B26="","",IFERROR(INDEX(원장입력!$D$5:$D$204,MATCH($B26&amp;"#1",원장입력!$G$5:$G$204,0)),""))</f>
        <v/>
      </c>
      <c r="D28" s="14">
        <f>IF($B26="","",IFERROR(INDEX(원장입력!$E$5:$E$204,MATCH($B26&amp;"#1",원장입력!$G$5:$G$204,0)),""))</f>
        <v/>
      </c>
      <c r="E28" s="14">
        <f>IF($B26="","",IFERROR(INDEX(원장입력!$F$5:$F$204,MATCH($B26&amp;"#1",원장입력!$G$5:$G$204,0)),""))</f>
        <v/>
      </c>
    </row>
    <row r="29">
      <c r="A29" s="12">
        <f>IF($B26="","",IFERROR(INDEX(원장입력!$A$5:$A$204,MATCH($B26&amp;"#2",원장입력!$G$5:$G$204,0)),""))</f>
        <v/>
      </c>
      <c r="B29" s="12">
        <f>IF($B26="","",IFERROR(INDEX(원장입력!$C$5:$C$204,MATCH($B26&amp;"#2",원장입력!$G$5:$G$204,0)),""))</f>
        <v/>
      </c>
      <c r="C29" s="12">
        <f>IF($B26="","",IFERROR(INDEX(원장입력!$D$5:$D$204,MATCH($B26&amp;"#2",원장입력!$G$5:$G$204,0)),""))</f>
        <v/>
      </c>
      <c r="D29" s="14">
        <f>IF($B26="","",IFERROR(INDEX(원장입력!$E$5:$E$204,MATCH($B26&amp;"#2",원장입력!$G$5:$G$204,0)),""))</f>
        <v/>
      </c>
      <c r="E29" s="14">
        <f>IF($B26="","",IFERROR(INDEX(원장입력!$F$5:$F$204,MATCH($B26&amp;"#2",원장입력!$G$5:$G$204,0)),""))</f>
        <v/>
      </c>
    </row>
    <row r="30">
      <c r="A30" s="12">
        <f>IF($B26="","",IFERROR(INDEX(원장입력!$A$5:$A$204,MATCH($B26&amp;"#3",원장입력!$G$5:$G$204,0)),""))</f>
        <v/>
      </c>
      <c r="B30" s="12">
        <f>IF($B26="","",IFERROR(INDEX(원장입력!$C$5:$C$204,MATCH($B26&amp;"#3",원장입력!$G$5:$G$204,0)),""))</f>
        <v/>
      </c>
      <c r="C30" s="12">
        <f>IF($B26="","",IFERROR(INDEX(원장입력!$D$5:$D$204,MATCH($B26&amp;"#3",원장입력!$G$5:$G$204,0)),""))</f>
        <v/>
      </c>
      <c r="D30" s="14">
        <f>IF($B26="","",IFERROR(INDEX(원장입력!$E$5:$E$204,MATCH($B26&amp;"#3",원장입력!$G$5:$G$204,0)),""))</f>
        <v/>
      </c>
      <c r="E30" s="14">
        <f>IF($B26="","",IFERROR(INDEX(원장입력!$F$5:$F$204,MATCH($B26&amp;"#3",원장입력!$G$5:$G$204,0)),""))</f>
        <v/>
      </c>
    </row>
    <row r="31">
      <c r="A31" s="12">
        <f>IF($B26="","",IFERROR(INDEX(원장입력!$A$5:$A$204,MATCH($B26&amp;"#4",원장입력!$G$5:$G$204,0)),""))</f>
        <v/>
      </c>
      <c r="B31" s="12">
        <f>IF($B26="","",IFERROR(INDEX(원장입력!$C$5:$C$204,MATCH($B26&amp;"#4",원장입력!$G$5:$G$204,0)),""))</f>
        <v/>
      </c>
      <c r="C31" s="12">
        <f>IF($B26="","",IFERROR(INDEX(원장입력!$D$5:$D$204,MATCH($B26&amp;"#4",원장입력!$G$5:$G$204,0)),""))</f>
        <v/>
      </c>
      <c r="D31" s="14">
        <f>IF($B26="","",IFERROR(INDEX(원장입력!$E$5:$E$204,MATCH($B26&amp;"#4",원장입력!$G$5:$G$204,0)),""))</f>
        <v/>
      </c>
      <c r="E31" s="14">
        <f>IF($B26="","",IFERROR(INDEX(원장입력!$F$5:$F$204,MATCH($B26&amp;"#4",원장입력!$G$5:$G$204,0)),""))</f>
        <v/>
      </c>
    </row>
    <row r="32">
      <c r="A32" s="12">
        <f>IF($B26="","",IFERROR(INDEX(원장입력!$A$5:$A$204,MATCH($B26&amp;"#5",원장입력!$G$5:$G$204,0)),""))</f>
        <v/>
      </c>
      <c r="B32" s="12">
        <f>IF($B26="","",IFERROR(INDEX(원장입력!$C$5:$C$204,MATCH($B26&amp;"#5",원장입력!$G$5:$G$204,0)),""))</f>
        <v/>
      </c>
      <c r="C32" s="12">
        <f>IF($B26="","",IFERROR(INDEX(원장입력!$D$5:$D$204,MATCH($B26&amp;"#5",원장입력!$G$5:$G$204,0)),""))</f>
        <v/>
      </c>
      <c r="D32" s="14">
        <f>IF($B26="","",IFERROR(INDEX(원장입력!$E$5:$E$204,MATCH($B26&amp;"#5",원장입력!$G$5:$G$204,0)),""))</f>
        <v/>
      </c>
      <c r="E32" s="14">
        <f>IF($B26="","",IFERROR(INDEX(원장입력!$F$5:$F$204,MATCH($B26&amp;"#5",원장입력!$G$5:$G$204,0)),""))</f>
        <v/>
      </c>
    </row>
    <row r="33">
      <c r="A33" s="12">
        <f>IF($B26="","",IFERROR(INDEX(원장입력!$A$5:$A$204,MATCH($B26&amp;"#6",원장입력!$G$5:$G$204,0)),""))</f>
        <v/>
      </c>
      <c r="B33" s="12">
        <f>IF($B26="","",IFERROR(INDEX(원장입력!$C$5:$C$204,MATCH($B26&amp;"#6",원장입력!$G$5:$G$204,0)),""))</f>
        <v/>
      </c>
      <c r="C33" s="12">
        <f>IF($B26="","",IFERROR(INDEX(원장입력!$D$5:$D$204,MATCH($B26&amp;"#6",원장입력!$G$5:$G$204,0)),""))</f>
        <v/>
      </c>
      <c r="D33" s="14">
        <f>IF($B26="","",IFERROR(INDEX(원장입력!$E$5:$E$204,MATCH($B26&amp;"#6",원장입력!$G$5:$G$204,0)),""))</f>
        <v/>
      </c>
      <c r="E33" s="14">
        <f>IF($B26="","",IFERROR(INDEX(원장입력!$F$5:$F$204,MATCH($B26&amp;"#6",원장입력!$G$5:$G$204,0)),""))</f>
        <v/>
      </c>
    </row>
    <row r="34">
      <c r="A34" s="12">
        <f>IF($B26="","",IFERROR(INDEX(원장입력!$A$5:$A$204,MATCH($B26&amp;"#7",원장입력!$G$5:$G$204,0)),""))</f>
        <v/>
      </c>
      <c r="B34" s="12">
        <f>IF($B26="","",IFERROR(INDEX(원장입력!$C$5:$C$204,MATCH($B26&amp;"#7",원장입력!$G$5:$G$204,0)),""))</f>
        <v/>
      </c>
      <c r="C34" s="12">
        <f>IF($B26="","",IFERROR(INDEX(원장입력!$D$5:$D$204,MATCH($B26&amp;"#7",원장입력!$G$5:$G$204,0)),""))</f>
        <v/>
      </c>
      <c r="D34" s="14">
        <f>IF($B26="","",IFERROR(INDEX(원장입력!$E$5:$E$204,MATCH($B26&amp;"#7",원장입력!$G$5:$G$204,0)),""))</f>
        <v/>
      </c>
      <c r="E34" s="14">
        <f>IF($B26="","",IFERROR(INDEX(원장입력!$F$5:$F$204,MATCH($B26&amp;"#7",원장입력!$G$5:$G$204,0)),""))</f>
        <v/>
      </c>
    </row>
    <row r="35">
      <c r="A35" s="12">
        <f>IF($B26="","",IFERROR(INDEX(원장입력!$A$5:$A$204,MATCH($B26&amp;"#8",원장입력!$G$5:$G$204,0)),""))</f>
        <v/>
      </c>
      <c r="B35" s="12">
        <f>IF($B26="","",IFERROR(INDEX(원장입력!$C$5:$C$204,MATCH($B26&amp;"#8",원장입력!$G$5:$G$204,0)),""))</f>
        <v/>
      </c>
      <c r="C35" s="12">
        <f>IF($B26="","",IFERROR(INDEX(원장입력!$D$5:$D$204,MATCH($B26&amp;"#8",원장입력!$G$5:$G$204,0)),""))</f>
        <v/>
      </c>
      <c r="D35" s="14">
        <f>IF($B26="","",IFERROR(INDEX(원장입력!$E$5:$E$204,MATCH($B26&amp;"#8",원장입력!$G$5:$G$204,0)),""))</f>
        <v/>
      </c>
      <c r="E35" s="14">
        <f>IF($B26="","",IFERROR(INDEX(원장입력!$F$5:$F$204,MATCH($B26&amp;"#8",원장입력!$G$5:$G$204,0)),""))</f>
        <v/>
      </c>
    </row>
    <row r="36">
      <c r="A36" s="12">
        <f>IF($B26="","",IFERROR(INDEX(원장입력!$A$5:$A$204,MATCH($B26&amp;"#9",원장입력!$G$5:$G$204,0)),""))</f>
        <v/>
      </c>
      <c r="B36" s="12">
        <f>IF($B26="","",IFERROR(INDEX(원장입력!$C$5:$C$204,MATCH($B26&amp;"#9",원장입력!$G$5:$G$204,0)),""))</f>
        <v/>
      </c>
      <c r="C36" s="12">
        <f>IF($B26="","",IFERROR(INDEX(원장입력!$D$5:$D$204,MATCH($B26&amp;"#9",원장입력!$G$5:$G$204,0)),""))</f>
        <v/>
      </c>
      <c r="D36" s="14">
        <f>IF($B26="","",IFERROR(INDEX(원장입력!$E$5:$E$204,MATCH($B26&amp;"#9",원장입력!$G$5:$G$204,0)),""))</f>
        <v/>
      </c>
      <c r="E36" s="14">
        <f>IF($B26="","",IFERROR(INDEX(원장입력!$F$5:$F$204,MATCH($B26&amp;"#9",원장입력!$G$5:$G$204,0)),""))</f>
        <v/>
      </c>
    </row>
    <row r="37">
      <c r="A37" s="12">
        <f>IF($B26="","",IFERROR(INDEX(원장입력!$A$5:$A$204,MATCH($B26&amp;"#10",원장입력!$G$5:$G$204,0)),""))</f>
        <v/>
      </c>
      <c r="B37" s="12">
        <f>IF($B26="","",IFERROR(INDEX(원장입력!$C$5:$C$204,MATCH($B26&amp;"#10",원장입력!$G$5:$G$204,0)),""))</f>
        <v/>
      </c>
      <c r="C37" s="12">
        <f>IF($B26="","",IFERROR(INDEX(원장입력!$D$5:$D$204,MATCH($B26&amp;"#10",원장입력!$G$5:$G$204,0)),""))</f>
        <v/>
      </c>
      <c r="D37" s="14">
        <f>IF($B26="","",IFERROR(INDEX(원장입력!$E$5:$E$204,MATCH($B26&amp;"#10",원장입력!$G$5:$G$204,0)),""))</f>
        <v/>
      </c>
      <c r="E37" s="14">
        <f>IF($B26="","",IFERROR(INDEX(원장입력!$F$5:$F$204,MATCH($B26&amp;"#10",원장입력!$G$5:$G$204,0)),""))</f>
        <v/>
      </c>
    </row>
    <row r="38">
      <c r="A38" s="12">
        <f>IF($B26="","",IFERROR(INDEX(원장입력!$A$5:$A$204,MATCH($B26&amp;"#11",원장입력!$G$5:$G$204,0)),""))</f>
        <v/>
      </c>
      <c r="B38" s="12">
        <f>IF($B26="","",IFERROR(INDEX(원장입력!$C$5:$C$204,MATCH($B26&amp;"#11",원장입력!$G$5:$G$204,0)),""))</f>
        <v/>
      </c>
      <c r="C38" s="12">
        <f>IF($B26="","",IFERROR(INDEX(원장입력!$D$5:$D$204,MATCH($B26&amp;"#11",원장입력!$G$5:$G$204,0)),""))</f>
        <v/>
      </c>
      <c r="D38" s="14">
        <f>IF($B26="","",IFERROR(INDEX(원장입력!$E$5:$E$204,MATCH($B26&amp;"#11",원장입력!$G$5:$G$204,0)),""))</f>
        <v/>
      </c>
      <c r="E38" s="14">
        <f>IF($B26="","",IFERROR(INDEX(원장입력!$F$5:$F$204,MATCH($B26&amp;"#11",원장입력!$G$5:$G$204,0)),""))</f>
        <v/>
      </c>
    </row>
    <row r="39">
      <c r="A39" s="12">
        <f>IF($B26="","",IFERROR(INDEX(원장입력!$A$5:$A$204,MATCH($B26&amp;"#12",원장입력!$G$5:$G$204,0)),""))</f>
        <v/>
      </c>
      <c r="B39" s="12">
        <f>IF($B26="","",IFERROR(INDEX(원장입력!$C$5:$C$204,MATCH($B26&amp;"#12",원장입력!$G$5:$G$204,0)),""))</f>
        <v/>
      </c>
      <c r="C39" s="12">
        <f>IF($B26="","",IFERROR(INDEX(원장입력!$D$5:$D$204,MATCH($B26&amp;"#12",원장입력!$G$5:$G$204,0)),""))</f>
        <v/>
      </c>
      <c r="D39" s="14">
        <f>IF($B26="","",IFERROR(INDEX(원장입력!$E$5:$E$204,MATCH($B26&amp;"#12",원장입력!$G$5:$G$204,0)),""))</f>
        <v/>
      </c>
      <c r="E39" s="14">
        <f>IF($B26="","",IFERROR(INDEX(원장입력!$F$5:$F$204,MATCH($B26&amp;"#12",원장입력!$G$5:$G$204,0)),""))</f>
        <v/>
      </c>
    </row>
    <row r="40">
      <c r="A40" s="12">
        <f>IF($B26="","",IFERROR(INDEX(원장입력!$A$5:$A$204,MATCH($B26&amp;"#13",원장입력!$G$5:$G$204,0)),""))</f>
        <v/>
      </c>
      <c r="B40" s="12">
        <f>IF($B26="","",IFERROR(INDEX(원장입력!$C$5:$C$204,MATCH($B26&amp;"#13",원장입력!$G$5:$G$204,0)),""))</f>
        <v/>
      </c>
      <c r="C40" s="12">
        <f>IF($B26="","",IFERROR(INDEX(원장입력!$D$5:$D$204,MATCH($B26&amp;"#13",원장입력!$G$5:$G$204,0)),""))</f>
        <v/>
      </c>
      <c r="D40" s="14">
        <f>IF($B26="","",IFERROR(INDEX(원장입력!$E$5:$E$204,MATCH($B26&amp;"#13",원장입력!$G$5:$G$204,0)),""))</f>
        <v/>
      </c>
      <c r="E40" s="14">
        <f>IF($B26="","",IFERROR(INDEX(원장입력!$F$5:$F$204,MATCH($B26&amp;"#13",원장입력!$G$5:$G$204,0)),""))</f>
        <v/>
      </c>
    </row>
    <row r="41">
      <c r="A41" s="12">
        <f>IF($B26="","",IFERROR(INDEX(원장입력!$A$5:$A$204,MATCH($B26&amp;"#14",원장입력!$G$5:$G$204,0)),""))</f>
        <v/>
      </c>
      <c r="B41" s="12">
        <f>IF($B26="","",IFERROR(INDEX(원장입력!$C$5:$C$204,MATCH($B26&amp;"#14",원장입력!$G$5:$G$204,0)),""))</f>
        <v/>
      </c>
      <c r="C41" s="12">
        <f>IF($B26="","",IFERROR(INDEX(원장입력!$D$5:$D$204,MATCH($B26&amp;"#14",원장입력!$G$5:$G$204,0)),""))</f>
        <v/>
      </c>
      <c r="D41" s="14">
        <f>IF($B26="","",IFERROR(INDEX(원장입력!$E$5:$E$204,MATCH($B26&amp;"#14",원장입력!$G$5:$G$204,0)),""))</f>
        <v/>
      </c>
      <c r="E41" s="14">
        <f>IF($B26="","",IFERROR(INDEX(원장입력!$F$5:$F$204,MATCH($B26&amp;"#14",원장입력!$G$5:$G$204,0)),""))</f>
        <v/>
      </c>
    </row>
    <row r="42">
      <c r="A42" s="12">
        <f>IF($B26="","",IFERROR(INDEX(원장입력!$A$5:$A$204,MATCH($B26&amp;"#15",원장입력!$G$5:$G$204,0)),""))</f>
        <v/>
      </c>
      <c r="B42" s="12">
        <f>IF($B26="","",IFERROR(INDEX(원장입력!$C$5:$C$204,MATCH($B26&amp;"#15",원장입력!$G$5:$G$204,0)),""))</f>
        <v/>
      </c>
      <c r="C42" s="12">
        <f>IF($B26="","",IFERROR(INDEX(원장입력!$D$5:$D$204,MATCH($B26&amp;"#15",원장입력!$G$5:$G$204,0)),""))</f>
        <v/>
      </c>
      <c r="D42" s="14">
        <f>IF($B26="","",IFERROR(INDEX(원장입력!$E$5:$E$204,MATCH($B26&amp;"#15",원장입력!$G$5:$G$204,0)),""))</f>
        <v/>
      </c>
      <c r="E42" s="14">
        <f>IF($B26="","",IFERROR(INDEX(원장입력!$F$5:$F$204,MATCH($B26&amp;"#15",원장입력!$G$5:$G$204,0)),""))</f>
        <v/>
      </c>
    </row>
    <row r="43">
      <c r="C43" s="17">
        <f>IF($B26="","","원장 합계")</f>
        <v/>
      </c>
      <c r="D43" s="14">
        <f>IF($B26="","",SUMIFS(원장입력!$E$5:$E$204,원장입력!$B$5:$B$204,$B26))</f>
        <v/>
      </c>
      <c r="E43" s="14">
        <f>IF($B26="","",SUMIFS(원장입력!$F$5:$F$204,원장입력!$B$5:$B$204,$B26))</f>
        <v/>
      </c>
    </row>
    <row r="44">
      <c r="C44" s="17">
        <f>IF($B26="","","결산 조정")</f>
        <v/>
      </c>
      <c r="D44" s="14">
        <f>IF($B26="","",SUMIFS(결산조정!$B$5:$B$104,결산조정!$A$5:$A$104,$B26))</f>
        <v/>
      </c>
      <c r="E44" s="14">
        <f>IF($B26="","",SUMIFS(결산조정!$C$5:$C$104,결산조정!$A$5:$A$104,$B26))</f>
        <v/>
      </c>
    </row>
    <row r="45"/>
    <row r="46">
      <c r="A46" s="20">
        <f>IF($B47="","","결산 조정 명세서")</f>
        <v/>
      </c>
      <c r="E46" s="5">
        <f>IF($B47="","","대상 월: 2026-09")</f>
        <v/>
      </c>
    </row>
    <row r="47">
      <c r="A47" s="3">
        <f>IF($B47="","","계정과목:")</f>
        <v/>
      </c>
      <c r="B47" s="3">
        <f>IFERROR(INDEX(결산명세서!$B$5:$B$44,3),"")</f>
        <v/>
      </c>
      <c r="D47" s="3">
        <f>IF($B47="","","당월 잔액:")</f>
        <v/>
      </c>
      <c r="E47" s="21">
        <f>IF($B47="","",INDEX(결산명세서!$G$5:$G$44,3))</f>
        <v/>
      </c>
    </row>
    <row r="48">
      <c r="A48" s="6">
        <f>IF($B47="","","날짜")</f>
        <v/>
      </c>
      <c r="B48" s="6">
        <f>IF($B47="","","거래처")</f>
        <v/>
      </c>
      <c r="C48" s="6">
        <f>IF($B47="","","적요")</f>
        <v/>
      </c>
      <c r="D48" s="6">
        <f>IF($B47="","","차변")</f>
        <v/>
      </c>
      <c r="E48" s="6">
        <f>IF($B47="","","대변")</f>
        <v/>
      </c>
    </row>
    <row r="49">
      <c r="A49" s="12">
        <f>IF($B47="","",IFERROR(INDEX(원장입력!$A$5:$A$204,MATCH($B47&amp;"#1",원장입력!$G$5:$G$204,0)),""))</f>
        <v/>
      </c>
      <c r="B49" s="12">
        <f>IF($B47="","",IFERROR(INDEX(원장입력!$C$5:$C$204,MATCH($B47&amp;"#1",원장입력!$G$5:$G$204,0)),""))</f>
        <v/>
      </c>
      <c r="C49" s="12">
        <f>IF($B47="","",IFERROR(INDEX(원장입력!$D$5:$D$204,MATCH($B47&amp;"#1",원장입력!$G$5:$G$204,0)),""))</f>
        <v/>
      </c>
      <c r="D49" s="14">
        <f>IF($B47="","",IFERROR(INDEX(원장입력!$E$5:$E$204,MATCH($B47&amp;"#1",원장입력!$G$5:$G$204,0)),""))</f>
        <v/>
      </c>
      <c r="E49" s="14">
        <f>IF($B47="","",IFERROR(INDEX(원장입력!$F$5:$F$204,MATCH($B47&amp;"#1",원장입력!$G$5:$G$204,0)),""))</f>
        <v/>
      </c>
    </row>
    <row r="50">
      <c r="A50" s="12">
        <f>IF($B47="","",IFERROR(INDEX(원장입력!$A$5:$A$204,MATCH($B47&amp;"#2",원장입력!$G$5:$G$204,0)),""))</f>
        <v/>
      </c>
      <c r="B50" s="12">
        <f>IF($B47="","",IFERROR(INDEX(원장입력!$C$5:$C$204,MATCH($B47&amp;"#2",원장입력!$G$5:$G$204,0)),""))</f>
        <v/>
      </c>
      <c r="C50" s="12">
        <f>IF($B47="","",IFERROR(INDEX(원장입력!$D$5:$D$204,MATCH($B47&amp;"#2",원장입력!$G$5:$G$204,0)),""))</f>
        <v/>
      </c>
      <c r="D50" s="14">
        <f>IF($B47="","",IFERROR(INDEX(원장입력!$E$5:$E$204,MATCH($B47&amp;"#2",원장입력!$G$5:$G$204,0)),""))</f>
        <v/>
      </c>
      <c r="E50" s="14">
        <f>IF($B47="","",IFERROR(INDEX(원장입력!$F$5:$F$204,MATCH($B47&amp;"#2",원장입력!$G$5:$G$204,0)),""))</f>
        <v/>
      </c>
    </row>
    <row r="51">
      <c r="A51" s="12">
        <f>IF($B47="","",IFERROR(INDEX(원장입력!$A$5:$A$204,MATCH($B47&amp;"#3",원장입력!$G$5:$G$204,0)),""))</f>
        <v/>
      </c>
      <c r="B51" s="12">
        <f>IF($B47="","",IFERROR(INDEX(원장입력!$C$5:$C$204,MATCH($B47&amp;"#3",원장입력!$G$5:$G$204,0)),""))</f>
        <v/>
      </c>
      <c r="C51" s="12">
        <f>IF($B47="","",IFERROR(INDEX(원장입력!$D$5:$D$204,MATCH($B47&amp;"#3",원장입력!$G$5:$G$204,0)),""))</f>
        <v/>
      </c>
      <c r="D51" s="14">
        <f>IF($B47="","",IFERROR(INDEX(원장입력!$E$5:$E$204,MATCH($B47&amp;"#3",원장입력!$G$5:$G$204,0)),""))</f>
        <v/>
      </c>
      <c r="E51" s="14">
        <f>IF($B47="","",IFERROR(INDEX(원장입력!$F$5:$F$204,MATCH($B47&amp;"#3",원장입력!$G$5:$G$204,0)),""))</f>
        <v/>
      </c>
    </row>
    <row r="52">
      <c r="A52" s="12">
        <f>IF($B47="","",IFERROR(INDEX(원장입력!$A$5:$A$204,MATCH($B47&amp;"#4",원장입력!$G$5:$G$204,0)),""))</f>
        <v/>
      </c>
      <c r="B52" s="12">
        <f>IF($B47="","",IFERROR(INDEX(원장입력!$C$5:$C$204,MATCH($B47&amp;"#4",원장입력!$G$5:$G$204,0)),""))</f>
        <v/>
      </c>
      <c r="C52" s="12">
        <f>IF($B47="","",IFERROR(INDEX(원장입력!$D$5:$D$204,MATCH($B47&amp;"#4",원장입력!$G$5:$G$204,0)),""))</f>
        <v/>
      </c>
      <c r="D52" s="14">
        <f>IF($B47="","",IFERROR(INDEX(원장입력!$E$5:$E$204,MATCH($B47&amp;"#4",원장입력!$G$5:$G$204,0)),""))</f>
        <v/>
      </c>
      <c r="E52" s="14">
        <f>IF($B47="","",IFERROR(INDEX(원장입력!$F$5:$F$204,MATCH($B47&amp;"#4",원장입력!$G$5:$G$204,0)),""))</f>
        <v/>
      </c>
    </row>
    <row r="53">
      <c r="A53" s="12">
        <f>IF($B47="","",IFERROR(INDEX(원장입력!$A$5:$A$204,MATCH($B47&amp;"#5",원장입력!$G$5:$G$204,0)),""))</f>
        <v/>
      </c>
      <c r="B53" s="12">
        <f>IF($B47="","",IFERROR(INDEX(원장입력!$C$5:$C$204,MATCH($B47&amp;"#5",원장입력!$G$5:$G$204,0)),""))</f>
        <v/>
      </c>
      <c r="C53" s="12">
        <f>IF($B47="","",IFERROR(INDEX(원장입력!$D$5:$D$204,MATCH($B47&amp;"#5",원장입력!$G$5:$G$204,0)),""))</f>
        <v/>
      </c>
      <c r="D53" s="14">
        <f>IF($B47="","",IFERROR(INDEX(원장입력!$E$5:$E$204,MATCH($B47&amp;"#5",원장입력!$G$5:$G$204,0)),""))</f>
        <v/>
      </c>
      <c r="E53" s="14">
        <f>IF($B47="","",IFERROR(INDEX(원장입력!$F$5:$F$204,MATCH($B47&amp;"#5",원장입력!$G$5:$G$204,0)),""))</f>
        <v/>
      </c>
    </row>
    <row r="54">
      <c r="A54" s="12">
        <f>IF($B47="","",IFERROR(INDEX(원장입력!$A$5:$A$204,MATCH($B47&amp;"#6",원장입력!$G$5:$G$204,0)),""))</f>
        <v/>
      </c>
      <c r="B54" s="12">
        <f>IF($B47="","",IFERROR(INDEX(원장입력!$C$5:$C$204,MATCH($B47&amp;"#6",원장입력!$G$5:$G$204,0)),""))</f>
        <v/>
      </c>
      <c r="C54" s="12">
        <f>IF($B47="","",IFERROR(INDEX(원장입력!$D$5:$D$204,MATCH($B47&amp;"#6",원장입력!$G$5:$G$204,0)),""))</f>
        <v/>
      </c>
      <c r="D54" s="14">
        <f>IF($B47="","",IFERROR(INDEX(원장입력!$E$5:$E$204,MATCH($B47&amp;"#6",원장입력!$G$5:$G$204,0)),""))</f>
        <v/>
      </c>
      <c r="E54" s="14">
        <f>IF($B47="","",IFERROR(INDEX(원장입력!$F$5:$F$204,MATCH($B47&amp;"#6",원장입력!$G$5:$G$204,0)),""))</f>
        <v/>
      </c>
    </row>
    <row r="55">
      <c r="A55" s="12">
        <f>IF($B47="","",IFERROR(INDEX(원장입력!$A$5:$A$204,MATCH($B47&amp;"#7",원장입력!$G$5:$G$204,0)),""))</f>
        <v/>
      </c>
      <c r="B55" s="12">
        <f>IF($B47="","",IFERROR(INDEX(원장입력!$C$5:$C$204,MATCH($B47&amp;"#7",원장입력!$G$5:$G$204,0)),""))</f>
        <v/>
      </c>
      <c r="C55" s="12">
        <f>IF($B47="","",IFERROR(INDEX(원장입력!$D$5:$D$204,MATCH($B47&amp;"#7",원장입력!$G$5:$G$204,0)),""))</f>
        <v/>
      </c>
      <c r="D55" s="14">
        <f>IF($B47="","",IFERROR(INDEX(원장입력!$E$5:$E$204,MATCH($B47&amp;"#7",원장입력!$G$5:$G$204,0)),""))</f>
        <v/>
      </c>
      <c r="E55" s="14">
        <f>IF($B47="","",IFERROR(INDEX(원장입력!$F$5:$F$204,MATCH($B47&amp;"#7",원장입력!$G$5:$G$204,0)),""))</f>
        <v/>
      </c>
    </row>
    <row r="56">
      <c r="A56" s="12">
        <f>IF($B47="","",IFERROR(INDEX(원장입력!$A$5:$A$204,MATCH($B47&amp;"#8",원장입력!$G$5:$G$204,0)),""))</f>
        <v/>
      </c>
      <c r="B56" s="12">
        <f>IF($B47="","",IFERROR(INDEX(원장입력!$C$5:$C$204,MATCH($B47&amp;"#8",원장입력!$G$5:$G$204,0)),""))</f>
        <v/>
      </c>
      <c r="C56" s="12">
        <f>IF($B47="","",IFERROR(INDEX(원장입력!$D$5:$D$204,MATCH($B47&amp;"#8",원장입력!$G$5:$G$204,0)),""))</f>
        <v/>
      </c>
      <c r="D56" s="14">
        <f>IF($B47="","",IFERROR(INDEX(원장입력!$E$5:$E$204,MATCH($B47&amp;"#8",원장입력!$G$5:$G$204,0)),""))</f>
        <v/>
      </c>
      <c r="E56" s="14">
        <f>IF($B47="","",IFERROR(INDEX(원장입력!$F$5:$F$204,MATCH($B47&amp;"#8",원장입력!$G$5:$G$204,0)),""))</f>
        <v/>
      </c>
    </row>
    <row r="57">
      <c r="A57" s="12">
        <f>IF($B47="","",IFERROR(INDEX(원장입력!$A$5:$A$204,MATCH($B47&amp;"#9",원장입력!$G$5:$G$204,0)),""))</f>
        <v/>
      </c>
      <c r="B57" s="12">
        <f>IF($B47="","",IFERROR(INDEX(원장입력!$C$5:$C$204,MATCH($B47&amp;"#9",원장입력!$G$5:$G$204,0)),""))</f>
        <v/>
      </c>
      <c r="C57" s="12">
        <f>IF($B47="","",IFERROR(INDEX(원장입력!$D$5:$D$204,MATCH($B47&amp;"#9",원장입력!$G$5:$G$204,0)),""))</f>
        <v/>
      </c>
      <c r="D57" s="14">
        <f>IF($B47="","",IFERROR(INDEX(원장입력!$E$5:$E$204,MATCH($B47&amp;"#9",원장입력!$G$5:$G$204,0)),""))</f>
        <v/>
      </c>
      <c r="E57" s="14">
        <f>IF($B47="","",IFERROR(INDEX(원장입력!$F$5:$F$204,MATCH($B47&amp;"#9",원장입력!$G$5:$G$204,0)),""))</f>
        <v/>
      </c>
    </row>
    <row r="58">
      <c r="A58" s="12">
        <f>IF($B47="","",IFERROR(INDEX(원장입력!$A$5:$A$204,MATCH($B47&amp;"#10",원장입력!$G$5:$G$204,0)),""))</f>
        <v/>
      </c>
      <c r="B58" s="12">
        <f>IF($B47="","",IFERROR(INDEX(원장입력!$C$5:$C$204,MATCH($B47&amp;"#10",원장입력!$G$5:$G$204,0)),""))</f>
        <v/>
      </c>
      <c r="C58" s="12">
        <f>IF($B47="","",IFERROR(INDEX(원장입력!$D$5:$D$204,MATCH($B47&amp;"#10",원장입력!$G$5:$G$204,0)),""))</f>
        <v/>
      </c>
      <c r="D58" s="14">
        <f>IF($B47="","",IFERROR(INDEX(원장입력!$E$5:$E$204,MATCH($B47&amp;"#10",원장입력!$G$5:$G$204,0)),""))</f>
        <v/>
      </c>
      <c r="E58" s="14">
        <f>IF($B47="","",IFERROR(INDEX(원장입력!$F$5:$F$204,MATCH($B47&amp;"#10",원장입력!$G$5:$G$204,0)),""))</f>
        <v/>
      </c>
    </row>
    <row r="59">
      <c r="A59" s="12">
        <f>IF($B47="","",IFERROR(INDEX(원장입력!$A$5:$A$204,MATCH($B47&amp;"#11",원장입력!$G$5:$G$204,0)),""))</f>
        <v/>
      </c>
      <c r="B59" s="12">
        <f>IF($B47="","",IFERROR(INDEX(원장입력!$C$5:$C$204,MATCH($B47&amp;"#11",원장입력!$G$5:$G$204,0)),""))</f>
        <v/>
      </c>
      <c r="C59" s="12">
        <f>IF($B47="","",IFERROR(INDEX(원장입력!$D$5:$D$204,MATCH($B47&amp;"#11",원장입력!$G$5:$G$204,0)),""))</f>
        <v/>
      </c>
      <c r="D59" s="14">
        <f>IF($B47="","",IFERROR(INDEX(원장입력!$E$5:$E$204,MATCH($B47&amp;"#11",원장입력!$G$5:$G$204,0)),""))</f>
        <v/>
      </c>
      <c r="E59" s="14">
        <f>IF($B47="","",IFERROR(INDEX(원장입력!$F$5:$F$204,MATCH($B47&amp;"#11",원장입력!$G$5:$G$204,0)),""))</f>
        <v/>
      </c>
    </row>
    <row r="60">
      <c r="A60" s="12">
        <f>IF($B47="","",IFERROR(INDEX(원장입력!$A$5:$A$204,MATCH($B47&amp;"#12",원장입력!$G$5:$G$204,0)),""))</f>
        <v/>
      </c>
      <c r="B60" s="12">
        <f>IF($B47="","",IFERROR(INDEX(원장입력!$C$5:$C$204,MATCH($B47&amp;"#12",원장입력!$G$5:$G$204,0)),""))</f>
        <v/>
      </c>
      <c r="C60" s="12">
        <f>IF($B47="","",IFERROR(INDEX(원장입력!$D$5:$D$204,MATCH($B47&amp;"#12",원장입력!$G$5:$G$204,0)),""))</f>
        <v/>
      </c>
      <c r="D60" s="14">
        <f>IF($B47="","",IFERROR(INDEX(원장입력!$E$5:$E$204,MATCH($B47&amp;"#12",원장입력!$G$5:$G$204,0)),""))</f>
        <v/>
      </c>
      <c r="E60" s="14">
        <f>IF($B47="","",IFERROR(INDEX(원장입력!$F$5:$F$204,MATCH($B47&amp;"#12",원장입력!$G$5:$G$204,0)),""))</f>
        <v/>
      </c>
    </row>
    <row r="61">
      <c r="A61" s="12">
        <f>IF($B47="","",IFERROR(INDEX(원장입력!$A$5:$A$204,MATCH($B47&amp;"#13",원장입력!$G$5:$G$204,0)),""))</f>
        <v/>
      </c>
      <c r="B61" s="12">
        <f>IF($B47="","",IFERROR(INDEX(원장입력!$C$5:$C$204,MATCH($B47&amp;"#13",원장입력!$G$5:$G$204,0)),""))</f>
        <v/>
      </c>
      <c r="C61" s="12">
        <f>IF($B47="","",IFERROR(INDEX(원장입력!$D$5:$D$204,MATCH($B47&amp;"#13",원장입력!$G$5:$G$204,0)),""))</f>
        <v/>
      </c>
      <c r="D61" s="14">
        <f>IF($B47="","",IFERROR(INDEX(원장입력!$E$5:$E$204,MATCH($B47&amp;"#13",원장입력!$G$5:$G$204,0)),""))</f>
        <v/>
      </c>
      <c r="E61" s="14">
        <f>IF($B47="","",IFERROR(INDEX(원장입력!$F$5:$F$204,MATCH($B47&amp;"#13",원장입력!$G$5:$G$204,0)),""))</f>
        <v/>
      </c>
    </row>
    <row r="62">
      <c r="A62" s="12">
        <f>IF($B47="","",IFERROR(INDEX(원장입력!$A$5:$A$204,MATCH($B47&amp;"#14",원장입력!$G$5:$G$204,0)),""))</f>
        <v/>
      </c>
      <c r="B62" s="12">
        <f>IF($B47="","",IFERROR(INDEX(원장입력!$C$5:$C$204,MATCH($B47&amp;"#14",원장입력!$G$5:$G$204,0)),""))</f>
        <v/>
      </c>
      <c r="C62" s="12">
        <f>IF($B47="","",IFERROR(INDEX(원장입력!$D$5:$D$204,MATCH($B47&amp;"#14",원장입력!$G$5:$G$204,0)),""))</f>
        <v/>
      </c>
      <c r="D62" s="14">
        <f>IF($B47="","",IFERROR(INDEX(원장입력!$E$5:$E$204,MATCH($B47&amp;"#14",원장입력!$G$5:$G$204,0)),""))</f>
        <v/>
      </c>
      <c r="E62" s="14">
        <f>IF($B47="","",IFERROR(INDEX(원장입력!$F$5:$F$204,MATCH($B47&amp;"#14",원장입력!$G$5:$G$204,0)),""))</f>
        <v/>
      </c>
    </row>
    <row r="63">
      <c r="A63" s="12">
        <f>IF($B47="","",IFERROR(INDEX(원장입력!$A$5:$A$204,MATCH($B47&amp;"#15",원장입력!$G$5:$G$204,0)),""))</f>
        <v/>
      </c>
      <c r="B63" s="12">
        <f>IF($B47="","",IFERROR(INDEX(원장입력!$C$5:$C$204,MATCH($B47&amp;"#15",원장입력!$G$5:$G$204,0)),""))</f>
        <v/>
      </c>
      <c r="C63" s="12">
        <f>IF($B47="","",IFERROR(INDEX(원장입력!$D$5:$D$204,MATCH($B47&amp;"#15",원장입력!$G$5:$G$204,0)),""))</f>
        <v/>
      </c>
      <c r="D63" s="14">
        <f>IF($B47="","",IFERROR(INDEX(원장입력!$E$5:$E$204,MATCH($B47&amp;"#15",원장입력!$G$5:$G$204,0)),""))</f>
        <v/>
      </c>
      <c r="E63" s="14">
        <f>IF($B47="","",IFERROR(INDEX(원장입력!$F$5:$F$204,MATCH($B47&amp;"#15",원장입력!$G$5:$G$204,0)),""))</f>
        <v/>
      </c>
    </row>
    <row r="64">
      <c r="C64" s="17">
        <f>IF($B47="","","원장 합계")</f>
        <v/>
      </c>
      <c r="D64" s="14">
        <f>IF($B47="","",SUMIFS(원장입력!$E$5:$E$204,원장입력!$B$5:$B$204,$B47))</f>
        <v/>
      </c>
      <c r="E64" s="14">
        <f>IF($B47="","",SUMIFS(원장입력!$F$5:$F$204,원장입력!$B$5:$B$204,$B47))</f>
        <v/>
      </c>
    </row>
    <row r="65">
      <c r="C65" s="17">
        <f>IF($B47="","","결산 조정")</f>
        <v/>
      </c>
      <c r="D65" s="14">
        <f>IF($B47="","",SUMIFS(결산조정!$B$5:$B$104,결산조정!$A$5:$A$104,$B47))</f>
        <v/>
      </c>
      <c r="E65" s="14">
        <f>IF($B47="","",SUMIFS(결산조정!$C$5:$C$104,결산조정!$A$5:$A$104,$B47))</f>
        <v/>
      </c>
    </row>
    <row r="66"/>
    <row r="67">
      <c r="A67" s="20">
        <f>IF($B68="","","결산 조정 명세서")</f>
        <v/>
      </c>
      <c r="E67" s="5">
        <f>IF($B68="","","대상 월: 2026-09")</f>
        <v/>
      </c>
    </row>
    <row r="68">
      <c r="A68" s="3">
        <f>IF($B68="","","계정과목:")</f>
        <v/>
      </c>
      <c r="B68" s="3">
        <f>IFERROR(INDEX(결산명세서!$B$5:$B$44,4),"")</f>
        <v/>
      </c>
      <c r="D68" s="3">
        <f>IF($B68="","","당월 잔액:")</f>
        <v/>
      </c>
      <c r="E68" s="21">
        <f>IF($B68="","",INDEX(결산명세서!$G$5:$G$44,4))</f>
        <v/>
      </c>
    </row>
    <row r="69">
      <c r="A69" s="6">
        <f>IF($B68="","","날짜")</f>
        <v/>
      </c>
      <c r="B69" s="6">
        <f>IF($B68="","","거래처")</f>
        <v/>
      </c>
      <c r="C69" s="6">
        <f>IF($B68="","","적요")</f>
        <v/>
      </c>
      <c r="D69" s="6">
        <f>IF($B68="","","차변")</f>
        <v/>
      </c>
      <c r="E69" s="6">
        <f>IF($B68="","","대변")</f>
        <v/>
      </c>
    </row>
    <row r="70">
      <c r="A70" s="12">
        <f>IF($B68="","",IFERROR(INDEX(원장입력!$A$5:$A$204,MATCH($B68&amp;"#1",원장입력!$G$5:$G$204,0)),""))</f>
        <v/>
      </c>
      <c r="B70" s="12">
        <f>IF($B68="","",IFERROR(INDEX(원장입력!$C$5:$C$204,MATCH($B68&amp;"#1",원장입력!$G$5:$G$204,0)),""))</f>
        <v/>
      </c>
      <c r="C70" s="12">
        <f>IF($B68="","",IFERROR(INDEX(원장입력!$D$5:$D$204,MATCH($B68&amp;"#1",원장입력!$G$5:$G$204,0)),""))</f>
        <v/>
      </c>
      <c r="D70" s="14">
        <f>IF($B68="","",IFERROR(INDEX(원장입력!$E$5:$E$204,MATCH($B68&amp;"#1",원장입력!$G$5:$G$204,0)),""))</f>
        <v/>
      </c>
      <c r="E70" s="14">
        <f>IF($B68="","",IFERROR(INDEX(원장입력!$F$5:$F$204,MATCH($B68&amp;"#1",원장입력!$G$5:$G$204,0)),""))</f>
        <v/>
      </c>
    </row>
    <row r="71">
      <c r="A71" s="12">
        <f>IF($B68="","",IFERROR(INDEX(원장입력!$A$5:$A$204,MATCH($B68&amp;"#2",원장입력!$G$5:$G$204,0)),""))</f>
        <v/>
      </c>
      <c r="B71" s="12">
        <f>IF($B68="","",IFERROR(INDEX(원장입력!$C$5:$C$204,MATCH($B68&amp;"#2",원장입력!$G$5:$G$204,0)),""))</f>
        <v/>
      </c>
      <c r="C71" s="12">
        <f>IF($B68="","",IFERROR(INDEX(원장입력!$D$5:$D$204,MATCH($B68&amp;"#2",원장입력!$G$5:$G$204,0)),""))</f>
        <v/>
      </c>
      <c r="D71" s="14">
        <f>IF($B68="","",IFERROR(INDEX(원장입력!$E$5:$E$204,MATCH($B68&amp;"#2",원장입력!$G$5:$G$204,0)),""))</f>
        <v/>
      </c>
      <c r="E71" s="14">
        <f>IF($B68="","",IFERROR(INDEX(원장입력!$F$5:$F$204,MATCH($B68&amp;"#2",원장입력!$G$5:$G$204,0)),""))</f>
        <v/>
      </c>
    </row>
    <row r="72">
      <c r="A72" s="12">
        <f>IF($B68="","",IFERROR(INDEX(원장입력!$A$5:$A$204,MATCH($B68&amp;"#3",원장입력!$G$5:$G$204,0)),""))</f>
        <v/>
      </c>
      <c r="B72" s="12">
        <f>IF($B68="","",IFERROR(INDEX(원장입력!$C$5:$C$204,MATCH($B68&amp;"#3",원장입력!$G$5:$G$204,0)),""))</f>
        <v/>
      </c>
      <c r="C72" s="12">
        <f>IF($B68="","",IFERROR(INDEX(원장입력!$D$5:$D$204,MATCH($B68&amp;"#3",원장입력!$G$5:$G$204,0)),""))</f>
        <v/>
      </c>
      <c r="D72" s="14">
        <f>IF($B68="","",IFERROR(INDEX(원장입력!$E$5:$E$204,MATCH($B68&amp;"#3",원장입력!$G$5:$G$204,0)),""))</f>
        <v/>
      </c>
      <c r="E72" s="14">
        <f>IF($B68="","",IFERROR(INDEX(원장입력!$F$5:$F$204,MATCH($B68&amp;"#3",원장입력!$G$5:$G$204,0)),""))</f>
        <v/>
      </c>
    </row>
    <row r="73">
      <c r="A73" s="12">
        <f>IF($B68="","",IFERROR(INDEX(원장입력!$A$5:$A$204,MATCH($B68&amp;"#4",원장입력!$G$5:$G$204,0)),""))</f>
        <v/>
      </c>
      <c r="B73" s="12">
        <f>IF($B68="","",IFERROR(INDEX(원장입력!$C$5:$C$204,MATCH($B68&amp;"#4",원장입력!$G$5:$G$204,0)),""))</f>
        <v/>
      </c>
      <c r="C73" s="12">
        <f>IF($B68="","",IFERROR(INDEX(원장입력!$D$5:$D$204,MATCH($B68&amp;"#4",원장입력!$G$5:$G$204,0)),""))</f>
        <v/>
      </c>
      <c r="D73" s="14">
        <f>IF($B68="","",IFERROR(INDEX(원장입력!$E$5:$E$204,MATCH($B68&amp;"#4",원장입력!$G$5:$G$204,0)),""))</f>
        <v/>
      </c>
      <c r="E73" s="14">
        <f>IF($B68="","",IFERROR(INDEX(원장입력!$F$5:$F$204,MATCH($B68&amp;"#4",원장입력!$G$5:$G$204,0)),""))</f>
        <v/>
      </c>
    </row>
    <row r="74">
      <c r="A74" s="12">
        <f>IF($B68="","",IFERROR(INDEX(원장입력!$A$5:$A$204,MATCH($B68&amp;"#5",원장입력!$G$5:$G$204,0)),""))</f>
        <v/>
      </c>
      <c r="B74" s="12">
        <f>IF($B68="","",IFERROR(INDEX(원장입력!$C$5:$C$204,MATCH($B68&amp;"#5",원장입력!$G$5:$G$204,0)),""))</f>
        <v/>
      </c>
      <c r="C74" s="12">
        <f>IF($B68="","",IFERROR(INDEX(원장입력!$D$5:$D$204,MATCH($B68&amp;"#5",원장입력!$G$5:$G$204,0)),""))</f>
        <v/>
      </c>
      <c r="D74" s="14">
        <f>IF($B68="","",IFERROR(INDEX(원장입력!$E$5:$E$204,MATCH($B68&amp;"#5",원장입력!$G$5:$G$204,0)),""))</f>
        <v/>
      </c>
      <c r="E74" s="14">
        <f>IF($B68="","",IFERROR(INDEX(원장입력!$F$5:$F$204,MATCH($B68&amp;"#5",원장입력!$G$5:$G$204,0)),""))</f>
        <v/>
      </c>
    </row>
    <row r="75">
      <c r="A75" s="12">
        <f>IF($B68="","",IFERROR(INDEX(원장입력!$A$5:$A$204,MATCH($B68&amp;"#6",원장입력!$G$5:$G$204,0)),""))</f>
        <v/>
      </c>
      <c r="B75" s="12">
        <f>IF($B68="","",IFERROR(INDEX(원장입력!$C$5:$C$204,MATCH($B68&amp;"#6",원장입력!$G$5:$G$204,0)),""))</f>
        <v/>
      </c>
      <c r="C75" s="12">
        <f>IF($B68="","",IFERROR(INDEX(원장입력!$D$5:$D$204,MATCH($B68&amp;"#6",원장입력!$G$5:$G$204,0)),""))</f>
        <v/>
      </c>
      <c r="D75" s="14">
        <f>IF($B68="","",IFERROR(INDEX(원장입력!$E$5:$E$204,MATCH($B68&amp;"#6",원장입력!$G$5:$G$204,0)),""))</f>
        <v/>
      </c>
      <c r="E75" s="14">
        <f>IF($B68="","",IFERROR(INDEX(원장입력!$F$5:$F$204,MATCH($B68&amp;"#6",원장입력!$G$5:$G$204,0)),""))</f>
        <v/>
      </c>
    </row>
    <row r="76">
      <c r="A76" s="12">
        <f>IF($B68="","",IFERROR(INDEX(원장입력!$A$5:$A$204,MATCH($B68&amp;"#7",원장입력!$G$5:$G$204,0)),""))</f>
        <v/>
      </c>
      <c r="B76" s="12">
        <f>IF($B68="","",IFERROR(INDEX(원장입력!$C$5:$C$204,MATCH($B68&amp;"#7",원장입력!$G$5:$G$204,0)),""))</f>
        <v/>
      </c>
      <c r="C76" s="12">
        <f>IF($B68="","",IFERROR(INDEX(원장입력!$D$5:$D$204,MATCH($B68&amp;"#7",원장입력!$G$5:$G$204,0)),""))</f>
        <v/>
      </c>
      <c r="D76" s="14">
        <f>IF($B68="","",IFERROR(INDEX(원장입력!$E$5:$E$204,MATCH($B68&amp;"#7",원장입력!$G$5:$G$204,0)),""))</f>
        <v/>
      </c>
      <c r="E76" s="14">
        <f>IF($B68="","",IFERROR(INDEX(원장입력!$F$5:$F$204,MATCH($B68&amp;"#7",원장입력!$G$5:$G$204,0)),""))</f>
        <v/>
      </c>
    </row>
    <row r="77">
      <c r="A77" s="12">
        <f>IF($B68="","",IFERROR(INDEX(원장입력!$A$5:$A$204,MATCH($B68&amp;"#8",원장입력!$G$5:$G$204,0)),""))</f>
        <v/>
      </c>
      <c r="B77" s="12">
        <f>IF($B68="","",IFERROR(INDEX(원장입력!$C$5:$C$204,MATCH($B68&amp;"#8",원장입력!$G$5:$G$204,0)),""))</f>
        <v/>
      </c>
      <c r="C77" s="12">
        <f>IF($B68="","",IFERROR(INDEX(원장입력!$D$5:$D$204,MATCH($B68&amp;"#8",원장입력!$G$5:$G$204,0)),""))</f>
        <v/>
      </c>
      <c r="D77" s="14">
        <f>IF($B68="","",IFERROR(INDEX(원장입력!$E$5:$E$204,MATCH($B68&amp;"#8",원장입력!$G$5:$G$204,0)),""))</f>
        <v/>
      </c>
      <c r="E77" s="14">
        <f>IF($B68="","",IFERROR(INDEX(원장입력!$F$5:$F$204,MATCH($B68&amp;"#8",원장입력!$G$5:$G$204,0)),""))</f>
        <v/>
      </c>
    </row>
    <row r="78">
      <c r="A78" s="12">
        <f>IF($B68="","",IFERROR(INDEX(원장입력!$A$5:$A$204,MATCH($B68&amp;"#9",원장입력!$G$5:$G$204,0)),""))</f>
        <v/>
      </c>
      <c r="B78" s="12">
        <f>IF($B68="","",IFERROR(INDEX(원장입력!$C$5:$C$204,MATCH($B68&amp;"#9",원장입력!$G$5:$G$204,0)),""))</f>
        <v/>
      </c>
      <c r="C78" s="12">
        <f>IF($B68="","",IFERROR(INDEX(원장입력!$D$5:$D$204,MATCH($B68&amp;"#9",원장입력!$G$5:$G$204,0)),""))</f>
        <v/>
      </c>
      <c r="D78" s="14">
        <f>IF($B68="","",IFERROR(INDEX(원장입력!$E$5:$E$204,MATCH($B68&amp;"#9",원장입력!$G$5:$G$204,0)),""))</f>
        <v/>
      </c>
      <c r="E78" s="14">
        <f>IF($B68="","",IFERROR(INDEX(원장입력!$F$5:$F$204,MATCH($B68&amp;"#9",원장입력!$G$5:$G$204,0)),""))</f>
        <v/>
      </c>
    </row>
    <row r="79">
      <c r="A79" s="12">
        <f>IF($B68="","",IFERROR(INDEX(원장입력!$A$5:$A$204,MATCH($B68&amp;"#10",원장입력!$G$5:$G$204,0)),""))</f>
        <v/>
      </c>
      <c r="B79" s="12">
        <f>IF($B68="","",IFERROR(INDEX(원장입력!$C$5:$C$204,MATCH($B68&amp;"#10",원장입력!$G$5:$G$204,0)),""))</f>
        <v/>
      </c>
      <c r="C79" s="12">
        <f>IF($B68="","",IFERROR(INDEX(원장입력!$D$5:$D$204,MATCH($B68&amp;"#10",원장입력!$G$5:$G$204,0)),""))</f>
        <v/>
      </c>
      <c r="D79" s="14">
        <f>IF($B68="","",IFERROR(INDEX(원장입력!$E$5:$E$204,MATCH($B68&amp;"#10",원장입력!$G$5:$G$204,0)),""))</f>
        <v/>
      </c>
      <c r="E79" s="14">
        <f>IF($B68="","",IFERROR(INDEX(원장입력!$F$5:$F$204,MATCH($B68&amp;"#10",원장입력!$G$5:$G$204,0)),""))</f>
        <v/>
      </c>
    </row>
    <row r="80">
      <c r="A80" s="12">
        <f>IF($B68="","",IFERROR(INDEX(원장입력!$A$5:$A$204,MATCH($B68&amp;"#11",원장입력!$G$5:$G$204,0)),""))</f>
        <v/>
      </c>
      <c r="B80" s="12">
        <f>IF($B68="","",IFERROR(INDEX(원장입력!$C$5:$C$204,MATCH($B68&amp;"#11",원장입력!$G$5:$G$204,0)),""))</f>
        <v/>
      </c>
      <c r="C80" s="12">
        <f>IF($B68="","",IFERROR(INDEX(원장입력!$D$5:$D$204,MATCH($B68&amp;"#11",원장입력!$G$5:$G$204,0)),""))</f>
        <v/>
      </c>
      <c r="D80" s="14">
        <f>IF($B68="","",IFERROR(INDEX(원장입력!$E$5:$E$204,MATCH($B68&amp;"#11",원장입력!$G$5:$G$204,0)),""))</f>
        <v/>
      </c>
      <c r="E80" s="14">
        <f>IF($B68="","",IFERROR(INDEX(원장입력!$F$5:$F$204,MATCH($B68&amp;"#11",원장입력!$G$5:$G$204,0)),""))</f>
        <v/>
      </c>
    </row>
    <row r="81">
      <c r="A81" s="12">
        <f>IF($B68="","",IFERROR(INDEX(원장입력!$A$5:$A$204,MATCH($B68&amp;"#12",원장입력!$G$5:$G$204,0)),""))</f>
        <v/>
      </c>
      <c r="B81" s="12">
        <f>IF($B68="","",IFERROR(INDEX(원장입력!$C$5:$C$204,MATCH($B68&amp;"#12",원장입력!$G$5:$G$204,0)),""))</f>
        <v/>
      </c>
      <c r="C81" s="12">
        <f>IF($B68="","",IFERROR(INDEX(원장입력!$D$5:$D$204,MATCH($B68&amp;"#12",원장입력!$G$5:$G$204,0)),""))</f>
        <v/>
      </c>
      <c r="D81" s="14">
        <f>IF($B68="","",IFERROR(INDEX(원장입력!$E$5:$E$204,MATCH($B68&amp;"#12",원장입력!$G$5:$G$204,0)),""))</f>
        <v/>
      </c>
      <c r="E81" s="14">
        <f>IF($B68="","",IFERROR(INDEX(원장입력!$F$5:$F$204,MATCH($B68&amp;"#12",원장입력!$G$5:$G$204,0)),""))</f>
        <v/>
      </c>
    </row>
    <row r="82">
      <c r="A82" s="12">
        <f>IF($B68="","",IFERROR(INDEX(원장입력!$A$5:$A$204,MATCH($B68&amp;"#13",원장입력!$G$5:$G$204,0)),""))</f>
        <v/>
      </c>
      <c r="B82" s="12">
        <f>IF($B68="","",IFERROR(INDEX(원장입력!$C$5:$C$204,MATCH($B68&amp;"#13",원장입력!$G$5:$G$204,0)),""))</f>
        <v/>
      </c>
      <c r="C82" s="12">
        <f>IF($B68="","",IFERROR(INDEX(원장입력!$D$5:$D$204,MATCH($B68&amp;"#13",원장입력!$G$5:$G$204,0)),""))</f>
        <v/>
      </c>
      <c r="D82" s="14">
        <f>IF($B68="","",IFERROR(INDEX(원장입력!$E$5:$E$204,MATCH($B68&amp;"#13",원장입력!$G$5:$G$204,0)),""))</f>
        <v/>
      </c>
      <c r="E82" s="14">
        <f>IF($B68="","",IFERROR(INDEX(원장입력!$F$5:$F$204,MATCH($B68&amp;"#13",원장입력!$G$5:$G$204,0)),""))</f>
        <v/>
      </c>
    </row>
    <row r="83">
      <c r="A83" s="12">
        <f>IF($B68="","",IFERROR(INDEX(원장입력!$A$5:$A$204,MATCH($B68&amp;"#14",원장입력!$G$5:$G$204,0)),""))</f>
        <v/>
      </c>
      <c r="B83" s="12">
        <f>IF($B68="","",IFERROR(INDEX(원장입력!$C$5:$C$204,MATCH($B68&amp;"#14",원장입력!$G$5:$G$204,0)),""))</f>
        <v/>
      </c>
      <c r="C83" s="12">
        <f>IF($B68="","",IFERROR(INDEX(원장입력!$D$5:$D$204,MATCH($B68&amp;"#14",원장입력!$G$5:$G$204,0)),""))</f>
        <v/>
      </c>
      <c r="D83" s="14">
        <f>IF($B68="","",IFERROR(INDEX(원장입력!$E$5:$E$204,MATCH($B68&amp;"#14",원장입력!$G$5:$G$204,0)),""))</f>
        <v/>
      </c>
      <c r="E83" s="14">
        <f>IF($B68="","",IFERROR(INDEX(원장입력!$F$5:$F$204,MATCH($B68&amp;"#14",원장입력!$G$5:$G$204,0)),""))</f>
        <v/>
      </c>
    </row>
    <row r="84">
      <c r="A84" s="12">
        <f>IF($B68="","",IFERROR(INDEX(원장입력!$A$5:$A$204,MATCH($B68&amp;"#15",원장입력!$G$5:$G$204,0)),""))</f>
        <v/>
      </c>
      <c r="B84" s="12">
        <f>IF($B68="","",IFERROR(INDEX(원장입력!$C$5:$C$204,MATCH($B68&amp;"#15",원장입력!$G$5:$G$204,0)),""))</f>
        <v/>
      </c>
      <c r="C84" s="12">
        <f>IF($B68="","",IFERROR(INDEX(원장입력!$D$5:$D$204,MATCH($B68&amp;"#15",원장입력!$G$5:$G$204,0)),""))</f>
        <v/>
      </c>
      <c r="D84" s="14">
        <f>IF($B68="","",IFERROR(INDEX(원장입력!$E$5:$E$204,MATCH($B68&amp;"#15",원장입력!$G$5:$G$204,0)),""))</f>
        <v/>
      </c>
      <c r="E84" s="14">
        <f>IF($B68="","",IFERROR(INDEX(원장입력!$F$5:$F$204,MATCH($B68&amp;"#15",원장입력!$G$5:$G$204,0)),""))</f>
        <v/>
      </c>
    </row>
    <row r="85">
      <c r="C85" s="17">
        <f>IF($B68="","","원장 합계")</f>
        <v/>
      </c>
      <c r="D85" s="14">
        <f>IF($B68="","",SUMIFS(원장입력!$E$5:$E$204,원장입력!$B$5:$B$204,$B68))</f>
        <v/>
      </c>
      <c r="E85" s="14">
        <f>IF($B68="","",SUMIFS(원장입력!$F$5:$F$204,원장입력!$B$5:$B$204,$B68))</f>
        <v/>
      </c>
    </row>
    <row r="86">
      <c r="C86" s="17">
        <f>IF($B68="","","결산 조정")</f>
        <v/>
      </c>
      <c r="D86" s="14">
        <f>IF($B68="","",SUMIFS(결산조정!$B$5:$B$104,결산조정!$A$5:$A$104,$B68))</f>
        <v/>
      </c>
      <c r="E86" s="14">
        <f>IF($B68="","",SUMIFS(결산조정!$C$5:$C$104,결산조정!$A$5:$A$104,$B68))</f>
        <v/>
      </c>
    </row>
    <row r="87"/>
    <row r="88">
      <c r="A88" s="20">
        <f>IF($B89="","","결산 조정 명세서")</f>
        <v/>
      </c>
      <c r="E88" s="5">
        <f>IF($B89="","","대상 월: 2026-09")</f>
        <v/>
      </c>
    </row>
    <row r="89">
      <c r="A89" s="3">
        <f>IF($B89="","","계정과목:")</f>
        <v/>
      </c>
      <c r="B89" s="3">
        <f>IFERROR(INDEX(결산명세서!$B$5:$B$44,5),"")</f>
        <v/>
      </c>
      <c r="D89" s="3">
        <f>IF($B89="","","당월 잔액:")</f>
        <v/>
      </c>
      <c r="E89" s="21">
        <f>IF($B89="","",INDEX(결산명세서!$G$5:$G$44,5))</f>
        <v/>
      </c>
    </row>
    <row r="90">
      <c r="A90" s="6">
        <f>IF($B89="","","날짜")</f>
        <v/>
      </c>
      <c r="B90" s="6">
        <f>IF($B89="","","거래처")</f>
        <v/>
      </c>
      <c r="C90" s="6">
        <f>IF($B89="","","적요")</f>
        <v/>
      </c>
      <c r="D90" s="6">
        <f>IF($B89="","","차변")</f>
        <v/>
      </c>
      <c r="E90" s="6">
        <f>IF($B89="","","대변")</f>
        <v/>
      </c>
    </row>
    <row r="91">
      <c r="A91" s="12">
        <f>IF($B89="","",IFERROR(INDEX(원장입력!$A$5:$A$204,MATCH($B89&amp;"#1",원장입력!$G$5:$G$204,0)),""))</f>
        <v/>
      </c>
      <c r="B91" s="12">
        <f>IF($B89="","",IFERROR(INDEX(원장입력!$C$5:$C$204,MATCH($B89&amp;"#1",원장입력!$G$5:$G$204,0)),""))</f>
        <v/>
      </c>
      <c r="C91" s="12">
        <f>IF($B89="","",IFERROR(INDEX(원장입력!$D$5:$D$204,MATCH($B89&amp;"#1",원장입력!$G$5:$G$204,0)),""))</f>
        <v/>
      </c>
      <c r="D91" s="14">
        <f>IF($B89="","",IFERROR(INDEX(원장입력!$E$5:$E$204,MATCH($B89&amp;"#1",원장입력!$G$5:$G$204,0)),""))</f>
        <v/>
      </c>
      <c r="E91" s="14">
        <f>IF($B89="","",IFERROR(INDEX(원장입력!$F$5:$F$204,MATCH($B89&amp;"#1",원장입력!$G$5:$G$204,0)),""))</f>
        <v/>
      </c>
    </row>
    <row r="92">
      <c r="A92" s="12">
        <f>IF($B89="","",IFERROR(INDEX(원장입력!$A$5:$A$204,MATCH($B89&amp;"#2",원장입력!$G$5:$G$204,0)),""))</f>
        <v/>
      </c>
      <c r="B92" s="12">
        <f>IF($B89="","",IFERROR(INDEX(원장입력!$C$5:$C$204,MATCH($B89&amp;"#2",원장입력!$G$5:$G$204,0)),""))</f>
        <v/>
      </c>
      <c r="C92" s="12">
        <f>IF($B89="","",IFERROR(INDEX(원장입력!$D$5:$D$204,MATCH($B89&amp;"#2",원장입력!$G$5:$G$204,0)),""))</f>
        <v/>
      </c>
      <c r="D92" s="14">
        <f>IF($B89="","",IFERROR(INDEX(원장입력!$E$5:$E$204,MATCH($B89&amp;"#2",원장입력!$G$5:$G$204,0)),""))</f>
        <v/>
      </c>
      <c r="E92" s="14">
        <f>IF($B89="","",IFERROR(INDEX(원장입력!$F$5:$F$204,MATCH($B89&amp;"#2",원장입력!$G$5:$G$204,0)),""))</f>
        <v/>
      </c>
    </row>
    <row r="93">
      <c r="A93" s="12">
        <f>IF($B89="","",IFERROR(INDEX(원장입력!$A$5:$A$204,MATCH($B89&amp;"#3",원장입력!$G$5:$G$204,0)),""))</f>
        <v/>
      </c>
      <c r="B93" s="12">
        <f>IF($B89="","",IFERROR(INDEX(원장입력!$C$5:$C$204,MATCH($B89&amp;"#3",원장입력!$G$5:$G$204,0)),""))</f>
        <v/>
      </c>
      <c r="C93" s="12">
        <f>IF($B89="","",IFERROR(INDEX(원장입력!$D$5:$D$204,MATCH($B89&amp;"#3",원장입력!$G$5:$G$204,0)),""))</f>
        <v/>
      </c>
      <c r="D93" s="14">
        <f>IF($B89="","",IFERROR(INDEX(원장입력!$E$5:$E$204,MATCH($B89&amp;"#3",원장입력!$G$5:$G$204,0)),""))</f>
        <v/>
      </c>
      <c r="E93" s="14">
        <f>IF($B89="","",IFERROR(INDEX(원장입력!$F$5:$F$204,MATCH($B89&amp;"#3",원장입력!$G$5:$G$204,0)),""))</f>
        <v/>
      </c>
    </row>
    <row r="94">
      <c r="A94" s="12">
        <f>IF($B89="","",IFERROR(INDEX(원장입력!$A$5:$A$204,MATCH($B89&amp;"#4",원장입력!$G$5:$G$204,0)),""))</f>
        <v/>
      </c>
      <c r="B94" s="12">
        <f>IF($B89="","",IFERROR(INDEX(원장입력!$C$5:$C$204,MATCH($B89&amp;"#4",원장입력!$G$5:$G$204,0)),""))</f>
        <v/>
      </c>
      <c r="C94" s="12">
        <f>IF($B89="","",IFERROR(INDEX(원장입력!$D$5:$D$204,MATCH($B89&amp;"#4",원장입력!$G$5:$G$204,0)),""))</f>
        <v/>
      </c>
      <c r="D94" s="14">
        <f>IF($B89="","",IFERROR(INDEX(원장입력!$E$5:$E$204,MATCH($B89&amp;"#4",원장입력!$G$5:$G$204,0)),""))</f>
        <v/>
      </c>
      <c r="E94" s="14">
        <f>IF($B89="","",IFERROR(INDEX(원장입력!$F$5:$F$204,MATCH($B89&amp;"#4",원장입력!$G$5:$G$204,0)),""))</f>
        <v/>
      </c>
    </row>
    <row r="95">
      <c r="A95" s="12">
        <f>IF($B89="","",IFERROR(INDEX(원장입력!$A$5:$A$204,MATCH($B89&amp;"#5",원장입력!$G$5:$G$204,0)),""))</f>
        <v/>
      </c>
      <c r="B95" s="12">
        <f>IF($B89="","",IFERROR(INDEX(원장입력!$C$5:$C$204,MATCH($B89&amp;"#5",원장입력!$G$5:$G$204,0)),""))</f>
        <v/>
      </c>
      <c r="C95" s="12">
        <f>IF($B89="","",IFERROR(INDEX(원장입력!$D$5:$D$204,MATCH($B89&amp;"#5",원장입력!$G$5:$G$204,0)),""))</f>
        <v/>
      </c>
      <c r="D95" s="14">
        <f>IF($B89="","",IFERROR(INDEX(원장입력!$E$5:$E$204,MATCH($B89&amp;"#5",원장입력!$G$5:$G$204,0)),""))</f>
        <v/>
      </c>
      <c r="E95" s="14">
        <f>IF($B89="","",IFERROR(INDEX(원장입력!$F$5:$F$204,MATCH($B89&amp;"#5",원장입력!$G$5:$G$204,0)),""))</f>
        <v/>
      </c>
    </row>
    <row r="96">
      <c r="A96" s="12">
        <f>IF($B89="","",IFERROR(INDEX(원장입력!$A$5:$A$204,MATCH($B89&amp;"#6",원장입력!$G$5:$G$204,0)),""))</f>
        <v/>
      </c>
      <c r="B96" s="12">
        <f>IF($B89="","",IFERROR(INDEX(원장입력!$C$5:$C$204,MATCH($B89&amp;"#6",원장입력!$G$5:$G$204,0)),""))</f>
        <v/>
      </c>
      <c r="C96" s="12">
        <f>IF($B89="","",IFERROR(INDEX(원장입력!$D$5:$D$204,MATCH($B89&amp;"#6",원장입력!$G$5:$G$204,0)),""))</f>
        <v/>
      </c>
      <c r="D96" s="14">
        <f>IF($B89="","",IFERROR(INDEX(원장입력!$E$5:$E$204,MATCH($B89&amp;"#6",원장입력!$G$5:$G$204,0)),""))</f>
        <v/>
      </c>
      <c r="E96" s="14">
        <f>IF($B89="","",IFERROR(INDEX(원장입력!$F$5:$F$204,MATCH($B89&amp;"#6",원장입력!$G$5:$G$204,0)),""))</f>
        <v/>
      </c>
    </row>
    <row r="97">
      <c r="A97" s="12">
        <f>IF($B89="","",IFERROR(INDEX(원장입력!$A$5:$A$204,MATCH($B89&amp;"#7",원장입력!$G$5:$G$204,0)),""))</f>
        <v/>
      </c>
      <c r="B97" s="12">
        <f>IF($B89="","",IFERROR(INDEX(원장입력!$C$5:$C$204,MATCH($B89&amp;"#7",원장입력!$G$5:$G$204,0)),""))</f>
        <v/>
      </c>
      <c r="C97" s="12">
        <f>IF($B89="","",IFERROR(INDEX(원장입력!$D$5:$D$204,MATCH($B89&amp;"#7",원장입력!$G$5:$G$204,0)),""))</f>
        <v/>
      </c>
      <c r="D97" s="14">
        <f>IF($B89="","",IFERROR(INDEX(원장입력!$E$5:$E$204,MATCH($B89&amp;"#7",원장입력!$G$5:$G$204,0)),""))</f>
        <v/>
      </c>
      <c r="E97" s="14">
        <f>IF($B89="","",IFERROR(INDEX(원장입력!$F$5:$F$204,MATCH($B89&amp;"#7",원장입력!$G$5:$G$204,0)),""))</f>
        <v/>
      </c>
    </row>
    <row r="98">
      <c r="A98" s="12">
        <f>IF($B89="","",IFERROR(INDEX(원장입력!$A$5:$A$204,MATCH($B89&amp;"#8",원장입력!$G$5:$G$204,0)),""))</f>
        <v/>
      </c>
      <c r="B98" s="12">
        <f>IF($B89="","",IFERROR(INDEX(원장입력!$C$5:$C$204,MATCH($B89&amp;"#8",원장입력!$G$5:$G$204,0)),""))</f>
        <v/>
      </c>
      <c r="C98" s="12">
        <f>IF($B89="","",IFERROR(INDEX(원장입력!$D$5:$D$204,MATCH($B89&amp;"#8",원장입력!$G$5:$G$204,0)),""))</f>
        <v/>
      </c>
      <c r="D98" s="14">
        <f>IF($B89="","",IFERROR(INDEX(원장입력!$E$5:$E$204,MATCH($B89&amp;"#8",원장입력!$G$5:$G$204,0)),""))</f>
        <v/>
      </c>
      <c r="E98" s="14">
        <f>IF($B89="","",IFERROR(INDEX(원장입력!$F$5:$F$204,MATCH($B89&amp;"#8",원장입력!$G$5:$G$204,0)),""))</f>
        <v/>
      </c>
    </row>
    <row r="99">
      <c r="A99" s="12">
        <f>IF($B89="","",IFERROR(INDEX(원장입력!$A$5:$A$204,MATCH($B89&amp;"#9",원장입력!$G$5:$G$204,0)),""))</f>
        <v/>
      </c>
      <c r="B99" s="12">
        <f>IF($B89="","",IFERROR(INDEX(원장입력!$C$5:$C$204,MATCH($B89&amp;"#9",원장입력!$G$5:$G$204,0)),""))</f>
        <v/>
      </c>
      <c r="C99" s="12">
        <f>IF($B89="","",IFERROR(INDEX(원장입력!$D$5:$D$204,MATCH($B89&amp;"#9",원장입력!$G$5:$G$204,0)),""))</f>
        <v/>
      </c>
      <c r="D99" s="14">
        <f>IF($B89="","",IFERROR(INDEX(원장입력!$E$5:$E$204,MATCH($B89&amp;"#9",원장입력!$G$5:$G$204,0)),""))</f>
        <v/>
      </c>
      <c r="E99" s="14">
        <f>IF($B89="","",IFERROR(INDEX(원장입력!$F$5:$F$204,MATCH($B89&amp;"#9",원장입력!$G$5:$G$204,0)),""))</f>
        <v/>
      </c>
    </row>
    <row r="100">
      <c r="A100" s="12">
        <f>IF($B89="","",IFERROR(INDEX(원장입력!$A$5:$A$204,MATCH($B89&amp;"#10",원장입력!$G$5:$G$204,0)),""))</f>
        <v/>
      </c>
      <c r="B100" s="12">
        <f>IF($B89="","",IFERROR(INDEX(원장입력!$C$5:$C$204,MATCH($B89&amp;"#10",원장입력!$G$5:$G$204,0)),""))</f>
        <v/>
      </c>
      <c r="C100" s="12">
        <f>IF($B89="","",IFERROR(INDEX(원장입력!$D$5:$D$204,MATCH($B89&amp;"#10",원장입력!$G$5:$G$204,0)),""))</f>
        <v/>
      </c>
      <c r="D100" s="14">
        <f>IF($B89="","",IFERROR(INDEX(원장입력!$E$5:$E$204,MATCH($B89&amp;"#10",원장입력!$G$5:$G$204,0)),""))</f>
        <v/>
      </c>
      <c r="E100" s="14">
        <f>IF($B89="","",IFERROR(INDEX(원장입력!$F$5:$F$204,MATCH($B89&amp;"#10",원장입력!$G$5:$G$204,0)),""))</f>
        <v/>
      </c>
    </row>
    <row r="101">
      <c r="A101" s="12">
        <f>IF($B89="","",IFERROR(INDEX(원장입력!$A$5:$A$204,MATCH($B89&amp;"#11",원장입력!$G$5:$G$204,0)),""))</f>
        <v/>
      </c>
      <c r="B101" s="12">
        <f>IF($B89="","",IFERROR(INDEX(원장입력!$C$5:$C$204,MATCH($B89&amp;"#11",원장입력!$G$5:$G$204,0)),""))</f>
        <v/>
      </c>
      <c r="C101" s="12">
        <f>IF($B89="","",IFERROR(INDEX(원장입력!$D$5:$D$204,MATCH($B89&amp;"#11",원장입력!$G$5:$G$204,0)),""))</f>
        <v/>
      </c>
      <c r="D101" s="14">
        <f>IF($B89="","",IFERROR(INDEX(원장입력!$E$5:$E$204,MATCH($B89&amp;"#11",원장입력!$G$5:$G$204,0)),""))</f>
        <v/>
      </c>
      <c r="E101" s="14">
        <f>IF($B89="","",IFERROR(INDEX(원장입력!$F$5:$F$204,MATCH($B89&amp;"#11",원장입력!$G$5:$G$204,0)),""))</f>
        <v/>
      </c>
    </row>
    <row r="102">
      <c r="A102" s="12">
        <f>IF($B89="","",IFERROR(INDEX(원장입력!$A$5:$A$204,MATCH($B89&amp;"#12",원장입력!$G$5:$G$204,0)),""))</f>
        <v/>
      </c>
      <c r="B102" s="12">
        <f>IF($B89="","",IFERROR(INDEX(원장입력!$C$5:$C$204,MATCH($B89&amp;"#12",원장입력!$G$5:$G$204,0)),""))</f>
        <v/>
      </c>
      <c r="C102" s="12">
        <f>IF($B89="","",IFERROR(INDEX(원장입력!$D$5:$D$204,MATCH($B89&amp;"#12",원장입력!$G$5:$G$204,0)),""))</f>
        <v/>
      </c>
      <c r="D102" s="14">
        <f>IF($B89="","",IFERROR(INDEX(원장입력!$E$5:$E$204,MATCH($B89&amp;"#12",원장입력!$G$5:$G$204,0)),""))</f>
        <v/>
      </c>
      <c r="E102" s="14">
        <f>IF($B89="","",IFERROR(INDEX(원장입력!$F$5:$F$204,MATCH($B89&amp;"#12",원장입력!$G$5:$G$204,0)),""))</f>
        <v/>
      </c>
    </row>
    <row r="103">
      <c r="A103" s="12">
        <f>IF($B89="","",IFERROR(INDEX(원장입력!$A$5:$A$204,MATCH($B89&amp;"#13",원장입력!$G$5:$G$204,0)),""))</f>
        <v/>
      </c>
      <c r="B103" s="12">
        <f>IF($B89="","",IFERROR(INDEX(원장입력!$C$5:$C$204,MATCH($B89&amp;"#13",원장입력!$G$5:$G$204,0)),""))</f>
        <v/>
      </c>
      <c r="C103" s="12">
        <f>IF($B89="","",IFERROR(INDEX(원장입력!$D$5:$D$204,MATCH($B89&amp;"#13",원장입력!$G$5:$G$204,0)),""))</f>
        <v/>
      </c>
      <c r="D103" s="14">
        <f>IF($B89="","",IFERROR(INDEX(원장입력!$E$5:$E$204,MATCH($B89&amp;"#13",원장입력!$G$5:$G$204,0)),""))</f>
        <v/>
      </c>
      <c r="E103" s="14">
        <f>IF($B89="","",IFERROR(INDEX(원장입력!$F$5:$F$204,MATCH($B89&amp;"#13",원장입력!$G$5:$G$204,0)),""))</f>
        <v/>
      </c>
    </row>
    <row r="104">
      <c r="A104" s="12">
        <f>IF($B89="","",IFERROR(INDEX(원장입력!$A$5:$A$204,MATCH($B89&amp;"#14",원장입력!$G$5:$G$204,0)),""))</f>
        <v/>
      </c>
      <c r="B104" s="12">
        <f>IF($B89="","",IFERROR(INDEX(원장입력!$C$5:$C$204,MATCH($B89&amp;"#14",원장입력!$G$5:$G$204,0)),""))</f>
        <v/>
      </c>
      <c r="C104" s="12">
        <f>IF($B89="","",IFERROR(INDEX(원장입력!$D$5:$D$204,MATCH($B89&amp;"#14",원장입력!$G$5:$G$204,0)),""))</f>
        <v/>
      </c>
      <c r="D104" s="14">
        <f>IF($B89="","",IFERROR(INDEX(원장입력!$E$5:$E$204,MATCH($B89&amp;"#14",원장입력!$G$5:$G$204,0)),""))</f>
        <v/>
      </c>
      <c r="E104" s="14">
        <f>IF($B89="","",IFERROR(INDEX(원장입력!$F$5:$F$204,MATCH($B89&amp;"#14",원장입력!$G$5:$G$204,0)),""))</f>
        <v/>
      </c>
    </row>
    <row r="105">
      <c r="A105" s="12">
        <f>IF($B89="","",IFERROR(INDEX(원장입력!$A$5:$A$204,MATCH($B89&amp;"#15",원장입력!$G$5:$G$204,0)),""))</f>
        <v/>
      </c>
      <c r="B105" s="12">
        <f>IF($B89="","",IFERROR(INDEX(원장입력!$C$5:$C$204,MATCH($B89&amp;"#15",원장입력!$G$5:$G$204,0)),""))</f>
        <v/>
      </c>
      <c r="C105" s="12">
        <f>IF($B89="","",IFERROR(INDEX(원장입력!$D$5:$D$204,MATCH($B89&amp;"#15",원장입력!$G$5:$G$204,0)),""))</f>
        <v/>
      </c>
      <c r="D105" s="14">
        <f>IF($B89="","",IFERROR(INDEX(원장입력!$E$5:$E$204,MATCH($B89&amp;"#15",원장입력!$G$5:$G$204,0)),""))</f>
        <v/>
      </c>
      <c r="E105" s="14">
        <f>IF($B89="","",IFERROR(INDEX(원장입력!$F$5:$F$204,MATCH($B89&amp;"#15",원장입력!$G$5:$G$204,0)),""))</f>
        <v/>
      </c>
    </row>
    <row r="106">
      <c r="C106" s="17">
        <f>IF($B89="","","원장 합계")</f>
        <v/>
      </c>
      <c r="D106" s="14">
        <f>IF($B89="","",SUMIFS(원장입력!$E$5:$E$204,원장입력!$B$5:$B$204,$B89))</f>
        <v/>
      </c>
      <c r="E106" s="14">
        <f>IF($B89="","",SUMIFS(원장입력!$F$5:$F$204,원장입력!$B$5:$B$204,$B89))</f>
        <v/>
      </c>
    </row>
    <row r="107">
      <c r="C107" s="17">
        <f>IF($B89="","","결산 조정")</f>
        <v/>
      </c>
      <c r="D107" s="14">
        <f>IF($B89="","",SUMIFS(결산조정!$B$5:$B$104,결산조정!$A$5:$A$104,$B89))</f>
        <v/>
      </c>
      <c r="E107" s="14">
        <f>IF($B89="","",SUMIFS(결산조정!$C$5:$C$104,결산조정!$A$5:$A$104,$B89))</f>
        <v/>
      </c>
    </row>
    <row r="108"/>
    <row r="109">
      <c r="A109" s="20">
        <f>IF($B110="","","결산 조정 명세서")</f>
        <v/>
      </c>
      <c r="E109" s="5">
        <f>IF($B110="","","대상 월: 2026-09")</f>
        <v/>
      </c>
    </row>
    <row r="110">
      <c r="A110" s="3">
        <f>IF($B110="","","계정과목:")</f>
        <v/>
      </c>
      <c r="B110" s="3">
        <f>IFERROR(INDEX(결산명세서!$B$5:$B$44,6),"")</f>
        <v/>
      </c>
      <c r="D110" s="3">
        <f>IF($B110="","","당월 잔액:")</f>
        <v/>
      </c>
      <c r="E110" s="21">
        <f>IF($B110="","",INDEX(결산명세서!$G$5:$G$44,6))</f>
        <v/>
      </c>
    </row>
    <row r="111">
      <c r="A111" s="6">
        <f>IF($B110="","","날짜")</f>
        <v/>
      </c>
      <c r="B111" s="6">
        <f>IF($B110="","","거래처")</f>
        <v/>
      </c>
      <c r="C111" s="6">
        <f>IF($B110="","","적요")</f>
        <v/>
      </c>
      <c r="D111" s="6">
        <f>IF($B110="","","차변")</f>
        <v/>
      </c>
      <c r="E111" s="6">
        <f>IF($B110="","","대변")</f>
        <v/>
      </c>
    </row>
    <row r="112">
      <c r="A112" s="12">
        <f>IF($B110="","",IFERROR(INDEX(원장입력!$A$5:$A$204,MATCH($B110&amp;"#1",원장입력!$G$5:$G$204,0)),""))</f>
        <v/>
      </c>
      <c r="B112" s="12">
        <f>IF($B110="","",IFERROR(INDEX(원장입력!$C$5:$C$204,MATCH($B110&amp;"#1",원장입력!$G$5:$G$204,0)),""))</f>
        <v/>
      </c>
      <c r="C112" s="12">
        <f>IF($B110="","",IFERROR(INDEX(원장입력!$D$5:$D$204,MATCH($B110&amp;"#1",원장입력!$G$5:$G$204,0)),""))</f>
        <v/>
      </c>
      <c r="D112" s="14">
        <f>IF($B110="","",IFERROR(INDEX(원장입력!$E$5:$E$204,MATCH($B110&amp;"#1",원장입력!$G$5:$G$204,0)),""))</f>
        <v/>
      </c>
      <c r="E112" s="14">
        <f>IF($B110="","",IFERROR(INDEX(원장입력!$F$5:$F$204,MATCH($B110&amp;"#1",원장입력!$G$5:$G$204,0)),""))</f>
        <v/>
      </c>
    </row>
    <row r="113">
      <c r="A113" s="12">
        <f>IF($B110="","",IFERROR(INDEX(원장입력!$A$5:$A$204,MATCH($B110&amp;"#2",원장입력!$G$5:$G$204,0)),""))</f>
        <v/>
      </c>
      <c r="B113" s="12">
        <f>IF($B110="","",IFERROR(INDEX(원장입력!$C$5:$C$204,MATCH($B110&amp;"#2",원장입력!$G$5:$G$204,0)),""))</f>
        <v/>
      </c>
      <c r="C113" s="12">
        <f>IF($B110="","",IFERROR(INDEX(원장입력!$D$5:$D$204,MATCH($B110&amp;"#2",원장입력!$G$5:$G$204,0)),""))</f>
        <v/>
      </c>
      <c r="D113" s="14">
        <f>IF($B110="","",IFERROR(INDEX(원장입력!$E$5:$E$204,MATCH($B110&amp;"#2",원장입력!$G$5:$G$204,0)),""))</f>
        <v/>
      </c>
      <c r="E113" s="14">
        <f>IF($B110="","",IFERROR(INDEX(원장입력!$F$5:$F$204,MATCH($B110&amp;"#2",원장입력!$G$5:$G$204,0)),""))</f>
        <v/>
      </c>
    </row>
    <row r="114">
      <c r="A114" s="12">
        <f>IF($B110="","",IFERROR(INDEX(원장입력!$A$5:$A$204,MATCH($B110&amp;"#3",원장입력!$G$5:$G$204,0)),""))</f>
        <v/>
      </c>
      <c r="B114" s="12">
        <f>IF($B110="","",IFERROR(INDEX(원장입력!$C$5:$C$204,MATCH($B110&amp;"#3",원장입력!$G$5:$G$204,0)),""))</f>
        <v/>
      </c>
      <c r="C114" s="12">
        <f>IF($B110="","",IFERROR(INDEX(원장입력!$D$5:$D$204,MATCH($B110&amp;"#3",원장입력!$G$5:$G$204,0)),""))</f>
        <v/>
      </c>
      <c r="D114" s="14">
        <f>IF($B110="","",IFERROR(INDEX(원장입력!$E$5:$E$204,MATCH($B110&amp;"#3",원장입력!$G$5:$G$204,0)),""))</f>
        <v/>
      </c>
      <c r="E114" s="14">
        <f>IF($B110="","",IFERROR(INDEX(원장입력!$F$5:$F$204,MATCH($B110&amp;"#3",원장입력!$G$5:$G$204,0)),""))</f>
        <v/>
      </c>
    </row>
    <row r="115">
      <c r="A115" s="12">
        <f>IF($B110="","",IFERROR(INDEX(원장입력!$A$5:$A$204,MATCH($B110&amp;"#4",원장입력!$G$5:$G$204,0)),""))</f>
        <v/>
      </c>
      <c r="B115" s="12">
        <f>IF($B110="","",IFERROR(INDEX(원장입력!$C$5:$C$204,MATCH($B110&amp;"#4",원장입력!$G$5:$G$204,0)),""))</f>
        <v/>
      </c>
      <c r="C115" s="12">
        <f>IF($B110="","",IFERROR(INDEX(원장입력!$D$5:$D$204,MATCH($B110&amp;"#4",원장입력!$G$5:$G$204,0)),""))</f>
        <v/>
      </c>
      <c r="D115" s="14">
        <f>IF($B110="","",IFERROR(INDEX(원장입력!$E$5:$E$204,MATCH($B110&amp;"#4",원장입력!$G$5:$G$204,0)),""))</f>
        <v/>
      </c>
      <c r="E115" s="14">
        <f>IF($B110="","",IFERROR(INDEX(원장입력!$F$5:$F$204,MATCH($B110&amp;"#4",원장입력!$G$5:$G$204,0)),""))</f>
        <v/>
      </c>
    </row>
    <row r="116">
      <c r="A116" s="12">
        <f>IF($B110="","",IFERROR(INDEX(원장입력!$A$5:$A$204,MATCH($B110&amp;"#5",원장입력!$G$5:$G$204,0)),""))</f>
        <v/>
      </c>
      <c r="B116" s="12">
        <f>IF($B110="","",IFERROR(INDEX(원장입력!$C$5:$C$204,MATCH($B110&amp;"#5",원장입력!$G$5:$G$204,0)),""))</f>
        <v/>
      </c>
      <c r="C116" s="12">
        <f>IF($B110="","",IFERROR(INDEX(원장입력!$D$5:$D$204,MATCH($B110&amp;"#5",원장입력!$G$5:$G$204,0)),""))</f>
        <v/>
      </c>
      <c r="D116" s="14">
        <f>IF($B110="","",IFERROR(INDEX(원장입력!$E$5:$E$204,MATCH($B110&amp;"#5",원장입력!$G$5:$G$204,0)),""))</f>
        <v/>
      </c>
      <c r="E116" s="14">
        <f>IF($B110="","",IFERROR(INDEX(원장입력!$F$5:$F$204,MATCH($B110&amp;"#5",원장입력!$G$5:$G$204,0)),""))</f>
        <v/>
      </c>
    </row>
    <row r="117">
      <c r="A117" s="12">
        <f>IF($B110="","",IFERROR(INDEX(원장입력!$A$5:$A$204,MATCH($B110&amp;"#6",원장입력!$G$5:$G$204,0)),""))</f>
        <v/>
      </c>
      <c r="B117" s="12">
        <f>IF($B110="","",IFERROR(INDEX(원장입력!$C$5:$C$204,MATCH($B110&amp;"#6",원장입력!$G$5:$G$204,0)),""))</f>
        <v/>
      </c>
      <c r="C117" s="12">
        <f>IF($B110="","",IFERROR(INDEX(원장입력!$D$5:$D$204,MATCH($B110&amp;"#6",원장입력!$G$5:$G$204,0)),""))</f>
        <v/>
      </c>
      <c r="D117" s="14">
        <f>IF($B110="","",IFERROR(INDEX(원장입력!$E$5:$E$204,MATCH($B110&amp;"#6",원장입력!$G$5:$G$204,0)),""))</f>
        <v/>
      </c>
      <c r="E117" s="14">
        <f>IF($B110="","",IFERROR(INDEX(원장입력!$F$5:$F$204,MATCH($B110&amp;"#6",원장입력!$G$5:$G$204,0)),""))</f>
        <v/>
      </c>
    </row>
    <row r="118">
      <c r="A118" s="12">
        <f>IF($B110="","",IFERROR(INDEX(원장입력!$A$5:$A$204,MATCH($B110&amp;"#7",원장입력!$G$5:$G$204,0)),""))</f>
        <v/>
      </c>
      <c r="B118" s="12">
        <f>IF($B110="","",IFERROR(INDEX(원장입력!$C$5:$C$204,MATCH($B110&amp;"#7",원장입력!$G$5:$G$204,0)),""))</f>
        <v/>
      </c>
      <c r="C118" s="12">
        <f>IF($B110="","",IFERROR(INDEX(원장입력!$D$5:$D$204,MATCH($B110&amp;"#7",원장입력!$G$5:$G$204,0)),""))</f>
        <v/>
      </c>
      <c r="D118" s="14">
        <f>IF($B110="","",IFERROR(INDEX(원장입력!$E$5:$E$204,MATCH($B110&amp;"#7",원장입력!$G$5:$G$204,0)),""))</f>
        <v/>
      </c>
      <c r="E118" s="14">
        <f>IF($B110="","",IFERROR(INDEX(원장입력!$F$5:$F$204,MATCH($B110&amp;"#7",원장입력!$G$5:$G$204,0)),""))</f>
        <v/>
      </c>
    </row>
    <row r="119">
      <c r="A119" s="12">
        <f>IF($B110="","",IFERROR(INDEX(원장입력!$A$5:$A$204,MATCH($B110&amp;"#8",원장입력!$G$5:$G$204,0)),""))</f>
        <v/>
      </c>
      <c r="B119" s="12">
        <f>IF($B110="","",IFERROR(INDEX(원장입력!$C$5:$C$204,MATCH($B110&amp;"#8",원장입력!$G$5:$G$204,0)),""))</f>
        <v/>
      </c>
      <c r="C119" s="12">
        <f>IF($B110="","",IFERROR(INDEX(원장입력!$D$5:$D$204,MATCH($B110&amp;"#8",원장입력!$G$5:$G$204,0)),""))</f>
        <v/>
      </c>
      <c r="D119" s="14">
        <f>IF($B110="","",IFERROR(INDEX(원장입력!$E$5:$E$204,MATCH($B110&amp;"#8",원장입력!$G$5:$G$204,0)),""))</f>
        <v/>
      </c>
      <c r="E119" s="14">
        <f>IF($B110="","",IFERROR(INDEX(원장입력!$F$5:$F$204,MATCH($B110&amp;"#8",원장입력!$G$5:$G$204,0)),""))</f>
        <v/>
      </c>
    </row>
    <row r="120">
      <c r="A120" s="12">
        <f>IF($B110="","",IFERROR(INDEX(원장입력!$A$5:$A$204,MATCH($B110&amp;"#9",원장입력!$G$5:$G$204,0)),""))</f>
        <v/>
      </c>
      <c r="B120" s="12">
        <f>IF($B110="","",IFERROR(INDEX(원장입력!$C$5:$C$204,MATCH($B110&amp;"#9",원장입력!$G$5:$G$204,0)),""))</f>
        <v/>
      </c>
      <c r="C120" s="12">
        <f>IF($B110="","",IFERROR(INDEX(원장입력!$D$5:$D$204,MATCH($B110&amp;"#9",원장입력!$G$5:$G$204,0)),""))</f>
        <v/>
      </c>
      <c r="D120" s="14">
        <f>IF($B110="","",IFERROR(INDEX(원장입력!$E$5:$E$204,MATCH($B110&amp;"#9",원장입력!$G$5:$G$204,0)),""))</f>
        <v/>
      </c>
      <c r="E120" s="14">
        <f>IF($B110="","",IFERROR(INDEX(원장입력!$F$5:$F$204,MATCH($B110&amp;"#9",원장입력!$G$5:$G$204,0)),""))</f>
        <v/>
      </c>
    </row>
    <row r="121">
      <c r="A121" s="12">
        <f>IF($B110="","",IFERROR(INDEX(원장입력!$A$5:$A$204,MATCH($B110&amp;"#10",원장입력!$G$5:$G$204,0)),""))</f>
        <v/>
      </c>
      <c r="B121" s="12">
        <f>IF($B110="","",IFERROR(INDEX(원장입력!$C$5:$C$204,MATCH($B110&amp;"#10",원장입력!$G$5:$G$204,0)),""))</f>
        <v/>
      </c>
      <c r="C121" s="12">
        <f>IF($B110="","",IFERROR(INDEX(원장입력!$D$5:$D$204,MATCH($B110&amp;"#10",원장입력!$G$5:$G$204,0)),""))</f>
        <v/>
      </c>
      <c r="D121" s="14">
        <f>IF($B110="","",IFERROR(INDEX(원장입력!$E$5:$E$204,MATCH($B110&amp;"#10",원장입력!$G$5:$G$204,0)),""))</f>
        <v/>
      </c>
      <c r="E121" s="14">
        <f>IF($B110="","",IFERROR(INDEX(원장입력!$F$5:$F$204,MATCH($B110&amp;"#10",원장입력!$G$5:$G$204,0)),""))</f>
        <v/>
      </c>
    </row>
    <row r="122">
      <c r="A122" s="12">
        <f>IF($B110="","",IFERROR(INDEX(원장입력!$A$5:$A$204,MATCH($B110&amp;"#11",원장입력!$G$5:$G$204,0)),""))</f>
        <v/>
      </c>
      <c r="B122" s="12">
        <f>IF($B110="","",IFERROR(INDEX(원장입력!$C$5:$C$204,MATCH($B110&amp;"#11",원장입력!$G$5:$G$204,0)),""))</f>
        <v/>
      </c>
      <c r="C122" s="12">
        <f>IF($B110="","",IFERROR(INDEX(원장입력!$D$5:$D$204,MATCH($B110&amp;"#11",원장입력!$G$5:$G$204,0)),""))</f>
        <v/>
      </c>
      <c r="D122" s="14">
        <f>IF($B110="","",IFERROR(INDEX(원장입력!$E$5:$E$204,MATCH($B110&amp;"#11",원장입력!$G$5:$G$204,0)),""))</f>
        <v/>
      </c>
      <c r="E122" s="14">
        <f>IF($B110="","",IFERROR(INDEX(원장입력!$F$5:$F$204,MATCH($B110&amp;"#11",원장입력!$G$5:$G$204,0)),""))</f>
        <v/>
      </c>
    </row>
    <row r="123">
      <c r="A123" s="12">
        <f>IF($B110="","",IFERROR(INDEX(원장입력!$A$5:$A$204,MATCH($B110&amp;"#12",원장입력!$G$5:$G$204,0)),""))</f>
        <v/>
      </c>
      <c r="B123" s="12">
        <f>IF($B110="","",IFERROR(INDEX(원장입력!$C$5:$C$204,MATCH($B110&amp;"#12",원장입력!$G$5:$G$204,0)),""))</f>
        <v/>
      </c>
      <c r="C123" s="12">
        <f>IF($B110="","",IFERROR(INDEX(원장입력!$D$5:$D$204,MATCH($B110&amp;"#12",원장입력!$G$5:$G$204,0)),""))</f>
        <v/>
      </c>
      <c r="D123" s="14">
        <f>IF($B110="","",IFERROR(INDEX(원장입력!$E$5:$E$204,MATCH($B110&amp;"#12",원장입력!$G$5:$G$204,0)),""))</f>
        <v/>
      </c>
      <c r="E123" s="14">
        <f>IF($B110="","",IFERROR(INDEX(원장입력!$F$5:$F$204,MATCH($B110&amp;"#12",원장입력!$G$5:$G$204,0)),""))</f>
        <v/>
      </c>
    </row>
    <row r="124">
      <c r="A124" s="12">
        <f>IF($B110="","",IFERROR(INDEX(원장입력!$A$5:$A$204,MATCH($B110&amp;"#13",원장입력!$G$5:$G$204,0)),""))</f>
        <v/>
      </c>
      <c r="B124" s="12">
        <f>IF($B110="","",IFERROR(INDEX(원장입력!$C$5:$C$204,MATCH($B110&amp;"#13",원장입력!$G$5:$G$204,0)),""))</f>
        <v/>
      </c>
      <c r="C124" s="12">
        <f>IF($B110="","",IFERROR(INDEX(원장입력!$D$5:$D$204,MATCH($B110&amp;"#13",원장입력!$G$5:$G$204,0)),""))</f>
        <v/>
      </c>
      <c r="D124" s="14">
        <f>IF($B110="","",IFERROR(INDEX(원장입력!$E$5:$E$204,MATCH($B110&amp;"#13",원장입력!$G$5:$G$204,0)),""))</f>
        <v/>
      </c>
      <c r="E124" s="14">
        <f>IF($B110="","",IFERROR(INDEX(원장입력!$F$5:$F$204,MATCH($B110&amp;"#13",원장입력!$G$5:$G$204,0)),""))</f>
        <v/>
      </c>
    </row>
    <row r="125">
      <c r="A125" s="12">
        <f>IF($B110="","",IFERROR(INDEX(원장입력!$A$5:$A$204,MATCH($B110&amp;"#14",원장입력!$G$5:$G$204,0)),""))</f>
        <v/>
      </c>
      <c r="B125" s="12">
        <f>IF($B110="","",IFERROR(INDEX(원장입력!$C$5:$C$204,MATCH($B110&amp;"#14",원장입력!$G$5:$G$204,0)),""))</f>
        <v/>
      </c>
      <c r="C125" s="12">
        <f>IF($B110="","",IFERROR(INDEX(원장입력!$D$5:$D$204,MATCH($B110&amp;"#14",원장입력!$G$5:$G$204,0)),""))</f>
        <v/>
      </c>
      <c r="D125" s="14">
        <f>IF($B110="","",IFERROR(INDEX(원장입력!$E$5:$E$204,MATCH($B110&amp;"#14",원장입력!$G$5:$G$204,0)),""))</f>
        <v/>
      </c>
      <c r="E125" s="14">
        <f>IF($B110="","",IFERROR(INDEX(원장입력!$F$5:$F$204,MATCH($B110&amp;"#14",원장입력!$G$5:$G$204,0)),""))</f>
        <v/>
      </c>
    </row>
    <row r="126">
      <c r="A126" s="12">
        <f>IF($B110="","",IFERROR(INDEX(원장입력!$A$5:$A$204,MATCH($B110&amp;"#15",원장입력!$G$5:$G$204,0)),""))</f>
        <v/>
      </c>
      <c r="B126" s="12">
        <f>IF($B110="","",IFERROR(INDEX(원장입력!$C$5:$C$204,MATCH($B110&amp;"#15",원장입력!$G$5:$G$204,0)),""))</f>
        <v/>
      </c>
      <c r="C126" s="12">
        <f>IF($B110="","",IFERROR(INDEX(원장입력!$D$5:$D$204,MATCH($B110&amp;"#15",원장입력!$G$5:$G$204,0)),""))</f>
        <v/>
      </c>
      <c r="D126" s="14">
        <f>IF($B110="","",IFERROR(INDEX(원장입력!$E$5:$E$204,MATCH($B110&amp;"#15",원장입력!$G$5:$G$204,0)),""))</f>
        <v/>
      </c>
      <c r="E126" s="14">
        <f>IF($B110="","",IFERROR(INDEX(원장입력!$F$5:$F$204,MATCH($B110&amp;"#15",원장입력!$G$5:$G$204,0)),""))</f>
        <v/>
      </c>
    </row>
    <row r="127">
      <c r="C127" s="17">
        <f>IF($B110="","","원장 합계")</f>
        <v/>
      </c>
      <c r="D127" s="14">
        <f>IF($B110="","",SUMIFS(원장입력!$E$5:$E$204,원장입력!$B$5:$B$204,$B110))</f>
        <v/>
      </c>
      <c r="E127" s="14">
        <f>IF($B110="","",SUMIFS(원장입력!$F$5:$F$204,원장입력!$B$5:$B$204,$B110))</f>
        <v/>
      </c>
    </row>
    <row r="128">
      <c r="C128" s="17">
        <f>IF($B110="","","결산 조정")</f>
        <v/>
      </c>
      <c r="D128" s="14">
        <f>IF($B110="","",SUMIFS(결산조정!$B$5:$B$104,결산조정!$A$5:$A$104,$B110))</f>
        <v/>
      </c>
      <c r="E128" s="14">
        <f>IF($B110="","",SUMIFS(결산조정!$C$5:$C$104,결산조정!$A$5:$A$104,$B110))</f>
        <v/>
      </c>
    </row>
    <row r="129"/>
    <row r="130">
      <c r="A130" s="20">
        <f>IF($B131="","","결산 조정 명세서")</f>
        <v/>
      </c>
      <c r="E130" s="5">
        <f>IF($B131="","","대상 월: 2026-09")</f>
        <v/>
      </c>
    </row>
    <row r="131">
      <c r="A131" s="3">
        <f>IF($B131="","","계정과목:")</f>
        <v/>
      </c>
      <c r="B131" s="3">
        <f>IFERROR(INDEX(결산명세서!$B$5:$B$44,7),"")</f>
        <v/>
      </c>
      <c r="D131" s="3">
        <f>IF($B131="","","당월 잔액:")</f>
        <v/>
      </c>
      <c r="E131" s="21">
        <f>IF($B131="","",INDEX(결산명세서!$G$5:$G$44,7))</f>
        <v/>
      </c>
    </row>
    <row r="132">
      <c r="A132" s="6">
        <f>IF($B131="","","날짜")</f>
        <v/>
      </c>
      <c r="B132" s="6">
        <f>IF($B131="","","거래처")</f>
        <v/>
      </c>
      <c r="C132" s="6">
        <f>IF($B131="","","적요")</f>
        <v/>
      </c>
      <c r="D132" s="6">
        <f>IF($B131="","","차변")</f>
        <v/>
      </c>
      <c r="E132" s="6">
        <f>IF($B131="","","대변")</f>
        <v/>
      </c>
    </row>
    <row r="133">
      <c r="A133" s="12">
        <f>IF($B131="","",IFERROR(INDEX(원장입력!$A$5:$A$204,MATCH($B131&amp;"#1",원장입력!$G$5:$G$204,0)),""))</f>
        <v/>
      </c>
      <c r="B133" s="12">
        <f>IF($B131="","",IFERROR(INDEX(원장입력!$C$5:$C$204,MATCH($B131&amp;"#1",원장입력!$G$5:$G$204,0)),""))</f>
        <v/>
      </c>
      <c r="C133" s="12">
        <f>IF($B131="","",IFERROR(INDEX(원장입력!$D$5:$D$204,MATCH($B131&amp;"#1",원장입력!$G$5:$G$204,0)),""))</f>
        <v/>
      </c>
      <c r="D133" s="14">
        <f>IF($B131="","",IFERROR(INDEX(원장입력!$E$5:$E$204,MATCH($B131&amp;"#1",원장입력!$G$5:$G$204,0)),""))</f>
        <v/>
      </c>
      <c r="E133" s="14">
        <f>IF($B131="","",IFERROR(INDEX(원장입력!$F$5:$F$204,MATCH($B131&amp;"#1",원장입력!$G$5:$G$204,0)),""))</f>
        <v/>
      </c>
    </row>
    <row r="134">
      <c r="A134" s="12">
        <f>IF($B131="","",IFERROR(INDEX(원장입력!$A$5:$A$204,MATCH($B131&amp;"#2",원장입력!$G$5:$G$204,0)),""))</f>
        <v/>
      </c>
      <c r="B134" s="12">
        <f>IF($B131="","",IFERROR(INDEX(원장입력!$C$5:$C$204,MATCH($B131&amp;"#2",원장입력!$G$5:$G$204,0)),""))</f>
        <v/>
      </c>
      <c r="C134" s="12">
        <f>IF($B131="","",IFERROR(INDEX(원장입력!$D$5:$D$204,MATCH($B131&amp;"#2",원장입력!$G$5:$G$204,0)),""))</f>
        <v/>
      </c>
      <c r="D134" s="14">
        <f>IF($B131="","",IFERROR(INDEX(원장입력!$E$5:$E$204,MATCH($B131&amp;"#2",원장입력!$G$5:$G$204,0)),""))</f>
        <v/>
      </c>
      <c r="E134" s="14">
        <f>IF($B131="","",IFERROR(INDEX(원장입력!$F$5:$F$204,MATCH($B131&amp;"#2",원장입력!$G$5:$G$204,0)),""))</f>
        <v/>
      </c>
    </row>
    <row r="135">
      <c r="A135" s="12">
        <f>IF($B131="","",IFERROR(INDEX(원장입력!$A$5:$A$204,MATCH($B131&amp;"#3",원장입력!$G$5:$G$204,0)),""))</f>
        <v/>
      </c>
      <c r="B135" s="12">
        <f>IF($B131="","",IFERROR(INDEX(원장입력!$C$5:$C$204,MATCH($B131&amp;"#3",원장입력!$G$5:$G$204,0)),""))</f>
        <v/>
      </c>
      <c r="C135" s="12">
        <f>IF($B131="","",IFERROR(INDEX(원장입력!$D$5:$D$204,MATCH($B131&amp;"#3",원장입력!$G$5:$G$204,0)),""))</f>
        <v/>
      </c>
      <c r="D135" s="14">
        <f>IF($B131="","",IFERROR(INDEX(원장입력!$E$5:$E$204,MATCH($B131&amp;"#3",원장입력!$G$5:$G$204,0)),""))</f>
        <v/>
      </c>
      <c r="E135" s="14">
        <f>IF($B131="","",IFERROR(INDEX(원장입력!$F$5:$F$204,MATCH($B131&amp;"#3",원장입력!$G$5:$G$204,0)),""))</f>
        <v/>
      </c>
    </row>
    <row r="136">
      <c r="A136" s="12">
        <f>IF($B131="","",IFERROR(INDEX(원장입력!$A$5:$A$204,MATCH($B131&amp;"#4",원장입력!$G$5:$G$204,0)),""))</f>
        <v/>
      </c>
      <c r="B136" s="12">
        <f>IF($B131="","",IFERROR(INDEX(원장입력!$C$5:$C$204,MATCH($B131&amp;"#4",원장입력!$G$5:$G$204,0)),""))</f>
        <v/>
      </c>
      <c r="C136" s="12">
        <f>IF($B131="","",IFERROR(INDEX(원장입력!$D$5:$D$204,MATCH($B131&amp;"#4",원장입력!$G$5:$G$204,0)),""))</f>
        <v/>
      </c>
      <c r="D136" s="14">
        <f>IF($B131="","",IFERROR(INDEX(원장입력!$E$5:$E$204,MATCH($B131&amp;"#4",원장입력!$G$5:$G$204,0)),""))</f>
        <v/>
      </c>
      <c r="E136" s="14">
        <f>IF($B131="","",IFERROR(INDEX(원장입력!$F$5:$F$204,MATCH($B131&amp;"#4",원장입력!$G$5:$G$204,0)),""))</f>
        <v/>
      </c>
    </row>
    <row r="137">
      <c r="A137" s="12">
        <f>IF($B131="","",IFERROR(INDEX(원장입력!$A$5:$A$204,MATCH($B131&amp;"#5",원장입력!$G$5:$G$204,0)),""))</f>
        <v/>
      </c>
      <c r="B137" s="12">
        <f>IF($B131="","",IFERROR(INDEX(원장입력!$C$5:$C$204,MATCH($B131&amp;"#5",원장입력!$G$5:$G$204,0)),""))</f>
        <v/>
      </c>
      <c r="C137" s="12">
        <f>IF($B131="","",IFERROR(INDEX(원장입력!$D$5:$D$204,MATCH($B131&amp;"#5",원장입력!$G$5:$G$204,0)),""))</f>
        <v/>
      </c>
      <c r="D137" s="14">
        <f>IF($B131="","",IFERROR(INDEX(원장입력!$E$5:$E$204,MATCH($B131&amp;"#5",원장입력!$G$5:$G$204,0)),""))</f>
        <v/>
      </c>
      <c r="E137" s="14">
        <f>IF($B131="","",IFERROR(INDEX(원장입력!$F$5:$F$204,MATCH($B131&amp;"#5",원장입력!$G$5:$G$204,0)),""))</f>
        <v/>
      </c>
    </row>
    <row r="138">
      <c r="A138" s="12">
        <f>IF($B131="","",IFERROR(INDEX(원장입력!$A$5:$A$204,MATCH($B131&amp;"#6",원장입력!$G$5:$G$204,0)),""))</f>
        <v/>
      </c>
      <c r="B138" s="12">
        <f>IF($B131="","",IFERROR(INDEX(원장입력!$C$5:$C$204,MATCH($B131&amp;"#6",원장입력!$G$5:$G$204,0)),""))</f>
        <v/>
      </c>
      <c r="C138" s="12">
        <f>IF($B131="","",IFERROR(INDEX(원장입력!$D$5:$D$204,MATCH($B131&amp;"#6",원장입력!$G$5:$G$204,0)),""))</f>
        <v/>
      </c>
      <c r="D138" s="14">
        <f>IF($B131="","",IFERROR(INDEX(원장입력!$E$5:$E$204,MATCH($B131&amp;"#6",원장입력!$G$5:$G$204,0)),""))</f>
        <v/>
      </c>
      <c r="E138" s="14">
        <f>IF($B131="","",IFERROR(INDEX(원장입력!$F$5:$F$204,MATCH($B131&amp;"#6",원장입력!$G$5:$G$204,0)),""))</f>
        <v/>
      </c>
    </row>
    <row r="139">
      <c r="A139" s="12">
        <f>IF($B131="","",IFERROR(INDEX(원장입력!$A$5:$A$204,MATCH($B131&amp;"#7",원장입력!$G$5:$G$204,0)),""))</f>
        <v/>
      </c>
      <c r="B139" s="12">
        <f>IF($B131="","",IFERROR(INDEX(원장입력!$C$5:$C$204,MATCH($B131&amp;"#7",원장입력!$G$5:$G$204,0)),""))</f>
        <v/>
      </c>
      <c r="C139" s="12">
        <f>IF($B131="","",IFERROR(INDEX(원장입력!$D$5:$D$204,MATCH($B131&amp;"#7",원장입력!$G$5:$G$204,0)),""))</f>
        <v/>
      </c>
      <c r="D139" s="14">
        <f>IF($B131="","",IFERROR(INDEX(원장입력!$E$5:$E$204,MATCH($B131&amp;"#7",원장입력!$G$5:$G$204,0)),""))</f>
        <v/>
      </c>
      <c r="E139" s="14">
        <f>IF($B131="","",IFERROR(INDEX(원장입력!$F$5:$F$204,MATCH($B131&amp;"#7",원장입력!$G$5:$G$204,0)),""))</f>
        <v/>
      </c>
    </row>
    <row r="140">
      <c r="A140" s="12">
        <f>IF($B131="","",IFERROR(INDEX(원장입력!$A$5:$A$204,MATCH($B131&amp;"#8",원장입력!$G$5:$G$204,0)),""))</f>
        <v/>
      </c>
      <c r="B140" s="12">
        <f>IF($B131="","",IFERROR(INDEX(원장입력!$C$5:$C$204,MATCH($B131&amp;"#8",원장입력!$G$5:$G$204,0)),""))</f>
        <v/>
      </c>
      <c r="C140" s="12">
        <f>IF($B131="","",IFERROR(INDEX(원장입력!$D$5:$D$204,MATCH($B131&amp;"#8",원장입력!$G$5:$G$204,0)),""))</f>
        <v/>
      </c>
      <c r="D140" s="14">
        <f>IF($B131="","",IFERROR(INDEX(원장입력!$E$5:$E$204,MATCH($B131&amp;"#8",원장입력!$G$5:$G$204,0)),""))</f>
        <v/>
      </c>
      <c r="E140" s="14">
        <f>IF($B131="","",IFERROR(INDEX(원장입력!$F$5:$F$204,MATCH($B131&amp;"#8",원장입력!$G$5:$G$204,0)),""))</f>
        <v/>
      </c>
    </row>
    <row r="141">
      <c r="A141" s="12">
        <f>IF($B131="","",IFERROR(INDEX(원장입력!$A$5:$A$204,MATCH($B131&amp;"#9",원장입력!$G$5:$G$204,0)),""))</f>
        <v/>
      </c>
      <c r="B141" s="12">
        <f>IF($B131="","",IFERROR(INDEX(원장입력!$C$5:$C$204,MATCH($B131&amp;"#9",원장입력!$G$5:$G$204,0)),""))</f>
        <v/>
      </c>
      <c r="C141" s="12">
        <f>IF($B131="","",IFERROR(INDEX(원장입력!$D$5:$D$204,MATCH($B131&amp;"#9",원장입력!$G$5:$G$204,0)),""))</f>
        <v/>
      </c>
      <c r="D141" s="14">
        <f>IF($B131="","",IFERROR(INDEX(원장입력!$E$5:$E$204,MATCH($B131&amp;"#9",원장입력!$G$5:$G$204,0)),""))</f>
        <v/>
      </c>
      <c r="E141" s="14">
        <f>IF($B131="","",IFERROR(INDEX(원장입력!$F$5:$F$204,MATCH($B131&amp;"#9",원장입력!$G$5:$G$204,0)),""))</f>
        <v/>
      </c>
    </row>
    <row r="142">
      <c r="A142" s="12">
        <f>IF($B131="","",IFERROR(INDEX(원장입력!$A$5:$A$204,MATCH($B131&amp;"#10",원장입력!$G$5:$G$204,0)),""))</f>
        <v/>
      </c>
      <c r="B142" s="12">
        <f>IF($B131="","",IFERROR(INDEX(원장입력!$C$5:$C$204,MATCH($B131&amp;"#10",원장입력!$G$5:$G$204,0)),""))</f>
        <v/>
      </c>
      <c r="C142" s="12">
        <f>IF($B131="","",IFERROR(INDEX(원장입력!$D$5:$D$204,MATCH($B131&amp;"#10",원장입력!$G$5:$G$204,0)),""))</f>
        <v/>
      </c>
      <c r="D142" s="14">
        <f>IF($B131="","",IFERROR(INDEX(원장입력!$E$5:$E$204,MATCH($B131&amp;"#10",원장입력!$G$5:$G$204,0)),""))</f>
        <v/>
      </c>
      <c r="E142" s="14">
        <f>IF($B131="","",IFERROR(INDEX(원장입력!$F$5:$F$204,MATCH($B131&amp;"#10",원장입력!$G$5:$G$204,0)),""))</f>
        <v/>
      </c>
    </row>
    <row r="143">
      <c r="A143" s="12">
        <f>IF($B131="","",IFERROR(INDEX(원장입력!$A$5:$A$204,MATCH($B131&amp;"#11",원장입력!$G$5:$G$204,0)),""))</f>
        <v/>
      </c>
      <c r="B143" s="12">
        <f>IF($B131="","",IFERROR(INDEX(원장입력!$C$5:$C$204,MATCH($B131&amp;"#11",원장입력!$G$5:$G$204,0)),""))</f>
        <v/>
      </c>
      <c r="C143" s="12">
        <f>IF($B131="","",IFERROR(INDEX(원장입력!$D$5:$D$204,MATCH($B131&amp;"#11",원장입력!$G$5:$G$204,0)),""))</f>
        <v/>
      </c>
      <c r="D143" s="14">
        <f>IF($B131="","",IFERROR(INDEX(원장입력!$E$5:$E$204,MATCH($B131&amp;"#11",원장입력!$G$5:$G$204,0)),""))</f>
        <v/>
      </c>
      <c r="E143" s="14">
        <f>IF($B131="","",IFERROR(INDEX(원장입력!$F$5:$F$204,MATCH($B131&amp;"#11",원장입력!$G$5:$G$204,0)),""))</f>
        <v/>
      </c>
    </row>
    <row r="144">
      <c r="A144" s="12">
        <f>IF($B131="","",IFERROR(INDEX(원장입력!$A$5:$A$204,MATCH($B131&amp;"#12",원장입력!$G$5:$G$204,0)),""))</f>
        <v/>
      </c>
      <c r="B144" s="12">
        <f>IF($B131="","",IFERROR(INDEX(원장입력!$C$5:$C$204,MATCH($B131&amp;"#12",원장입력!$G$5:$G$204,0)),""))</f>
        <v/>
      </c>
      <c r="C144" s="12">
        <f>IF($B131="","",IFERROR(INDEX(원장입력!$D$5:$D$204,MATCH($B131&amp;"#12",원장입력!$G$5:$G$204,0)),""))</f>
        <v/>
      </c>
      <c r="D144" s="14">
        <f>IF($B131="","",IFERROR(INDEX(원장입력!$E$5:$E$204,MATCH($B131&amp;"#12",원장입력!$G$5:$G$204,0)),""))</f>
        <v/>
      </c>
      <c r="E144" s="14">
        <f>IF($B131="","",IFERROR(INDEX(원장입력!$F$5:$F$204,MATCH($B131&amp;"#12",원장입력!$G$5:$G$204,0)),""))</f>
        <v/>
      </c>
    </row>
    <row r="145">
      <c r="A145" s="12">
        <f>IF($B131="","",IFERROR(INDEX(원장입력!$A$5:$A$204,MATCH($B131&amp;"#13",원장입력!$G$5:$G$204,0)),""))</f>
        <v/>
      </c>
      <c r="B145" s="12">
        <f>IF($B131="","",IFERROR(INDEX(원장입력!$C$5:$C$204,MATCH($B131&amp;"#13",원장입력!$G$5:$G$204,0)),""))</f>
        <v/>
      </c>
      <c r="C145" s="12">
        <f>IF($B131="","",IFERROR(INDEX(원장입력!$D$5:$D$204,MATCH($B131&amp;"#13",원장입력!$G$5:$G$204,0)),""))</f>
        <v/>
      </c>
      <c r="D145" s="14">
        <f>IF($B131="","",IFERROR(INDEX(원장입력!$E$5:$E$204,MATCH($B131&amp;"#13",원장입력!$G$5:$G$204,0)),""))</f>
        <v/>
      </c>
      <c r="E145" s="14">
        <f>IF($B131="","",IFERROR(INDEX(원장입력!$F$5:$F$204,MATCH($B131&amp;"#13",원장입력!$G$5:$G$204,0)),""))</f>
        <v/>
      </c>
    </row>
    <row r="146">
      <c r="A146" s="12">
        <f>IF($B131="","",IFERROR(INDEX(원장입력!$A$5:$A$204,MATCH($B131&amp;"#14",원장입력!$G$5:$G$204,0)),""))</f>
        <v/>
      </c>
      <c r="B146" s="12">
        <f>IF($B131="","",IFERROR(INDEX(원장입력!$C$5:$C$204,MATCH($B131&amp;"#14",원장입력!$G$5:$G$204,0)),""))</f>
        <v/>
      </c>
      <c r="C146" s="12">
        <f>IF($B131="","",IFERROR(INDEX(원장입력!$D$5:$D$204,MATCH($B131&amp;"#14",원장입력!$G$5:$G$204,0)),""))</f>
        <v/>
      </c>
      <c r="D146" s="14">
        <f>IF($B131="","",IFERROR(INDEX(원장입력!$E$5:$E$204,MATCH($B131&amp;"#14",원장입력!$G$5:$G$204,0)),""))</f>
        <v/>
      </c>
      <c r="E146" s="14">
        <f>IF($B131="","",IFERROR(INDEX(원장입력!$F$5:$F$204,MATCH($B131&amp;"#14",원장입력!$G$5:$G$204,0)),""))</f>
        <v/>
      </c>
    </row>
    <row r="147">
      <c r="A147" s="12">
        <f>IF($B131="","",IFERROR(INDEX(원장입력!$A$5:$A$204,MATCH($B131&amp;"#15",원장입력!$G$5:$G$204,0)),""))</f>
        <v/>
      </c>
      <c r="B147" s="12">
        <f>IF($B131="","",IFERROR(INDEX(원장입력!$C$5:$C$204,MATCH($B131&amp;"#15",원장입력!$G$5:$G$204,0)),""))</f>
        <v/>
      </c>
      <c r="C147" s="12">
        <f>IF($B131="","",IFERROR(INDEX(원장입력!$D$5:$D$204,MATCH($B131&amp;"#15",원장입력!$G$5:$G$204,0)),""))</f>
        <v/>
      </c>
      <c r="D147" s="14">
        <f>IF($B131="","",IFERROR(INDEX(원장입력!$E$5:$E$204,MATCH($B131&amp;"#15",원장입력!$G$5:$G$204,0)),""))</f>
        <v/>
      </c>
      <c r="E147" s="14">
        <f>IF($B131="","",IFERROR(INDEX(원장입력!$F$5:$F$204,MATCH($B131&amp;"#15",원장입력!$G$5:$G$204,0)),""))</f>
        <v/>
      </c>
    </row>
    <row r="148">
      <c r="C148" s="17">
        <f>IF($B131="","","원장 합계")</f>
        <v/>
      </c>
      <c r="D148" s="14">
        <f>IF($B131="","",SUMIFS(원장입력!$E$5:$E$204,원장입력!$B$5:$B$204,$B131))</f>
        <v/>
      </c>
      <c r="E148" s="14">
        <f>IF($B131="","",SUMIFS(원장입력!$F$5:$F$204,원장입력!$B$5:$B$204,$B131))</f>
        <v/>
      </c>
    </row>
    <row r="149">
      <c r="C149" s="17">
        <f>IF($B131="","","결산 조정")</f>
        <v/>
      </c>
      <c r="D149" s="14">
        <f>IF($B131="","",SUMIFS(결산조정!$B$5:$B$104,결산조정!$A$5:$A$104,$B131))</f>
        <v/>
      </c>
      <c r="E149" s="14">
        <f>IF($B131="","",SUMIFS(결산조정!$C$5:$C$104,결산조정!$A$5:$A$104,$B131))</f>
        <v/>
      </c>
    </row>
    <row r="150"/>
    <row r="151">
      <c r="A151" s="20">
        <f>IF($B152="","","결산 조정 명세서")</f>
        <v/>
      </c>
      <c r="E151" s="5">
        <f>IF($B152="","","대상 월: 2026-09")</f>
        <v/>
      </c>
    </row>
    <row r="152">
      <c r="A152" s="3">
        <f>IF($B152="","","계정과목:")</f>
        <v/>
      </c>
      <c r="B152" s="3">
        <f>IFERROR(INDEX(결산명세서!$B$5:$B$44,8),"")</f>
        <v/>
      </c>
      <c r="D152" s="3">
        <f>IF($B152="","","당월 잔액:")</f>
        <v/>
      </c>
      <c r="E152" s="21">
        <f>IF($B152="","",INDEX(결산명세서!$G$5:$G$44,8))</f>
        <v/>
      </c>
    </row>
    <row r="153">
      <c r="A153" s="6">
        <f>IF($B152="","","날짜")</f>
        <v/>
      </c>
      <c r="B153" s="6">
        <f>IF($B152="","","거래처")</f>
        <v/>
      </c>
      <c r="C153" s="6">
        <f>IF($B152="","","적요")</f>
        <v/>
      </c>
      <c r="D153" s="6">
        <f>IF($B152="","","차변")</f>
        <v/>
      </c>
      <c r="E153" s="6">
        <f>IF($B152="","","대변")</f>
        <v/>
      </c>
    </row>
    <row r="154">
      <c r="A154" s="12">
        <f>IF($B152="","",IFERROR(INDEX(원장입력!$A$5:$A$204,MATCH($B152&amp;"#1",원장입력!$G$5:$G$204,0)),""))</f>
        <v/>
      </c>
      <c r="B154" s="12">
        <f>IF($B152="","",IFERROR(INDEX(원장입력!$C$5:$C$204,MATCH($B152&amp;"#1",원장입력!$G$5:$G$204,0)),""))</f>
        <v/>
      </c>
      <c r="C154" s="12">
        <f>IF($B152="","",IFERROR(INDEX(원장입력!$D$5:$D$204,MATCH($B152&amp;"#1",원장입력!$G$5:$G$204,0)),""))</f>
        <v/>
      </c>
      <c r="D154" s="14">
        <f>IF($B152="","",IFERROR(INDEX(원장입력!$E$5:$E$204,MATCH($B152&amp;"#1",원장입력!$G$5:$G$204,0)),""))</f>
        <v/>
      </c>
      <c r="E154" s="14">
        <f>IF($B152="","",IFERROR(INDEX(원장입력!$F$5:$F$204,MATCH($B152&amp;"#1",원장입력!$G$5:$G$204,0)),""))</f>
        <v/>
      </c>
    </row>
    <row r="155">
      <c r="A155" s="12">
        <f>IF($B152="","",IFERROR(INDEX(원장입력!$A$5:$A$204,MATCH($B152&amp;"#2",원장입력!$G$5:$G$204,0)),""))</f>
        <v/>
      </c>
      <c r="B155" s="12">
        <f>IF($B152="","",IFERROR(INDEX(원장입력!$C$5:$C$204,MATCH($B152&amp;"#2",원장입력!$G$5:$G$204,0)),""))</f>
        <v/>
      </c>
      <c r="C155" s="12">
        <f>IF($B152="","",IFERROR(INDEX(원장입력!$D$5:$D$204,MATCH($B152&amp;"#2",원장입력!$G$5:$G$204,0)),""))</f>
        <v/>
      </c>
      <c r="D155" s="14">
        <f>IF($B152="","",IFERROR(INDEX(원장입력!$E$5:$E$204,MATCH($B152&amp;"#2",원장입력!$G$5:$G$204,0)),""))</f>
        <v/>
      </c>
      <c r="E155" s="14">
        <f>IF($B152="","",IFERROR(INDEX(원장입력!$F$5:$F$204,MATCH($B152&amp;"#2",원장입력!$G$5:$G$204,0)),""))</f>
        <v/>
      </c>
    </row>
    <row r="156">
      <c r="A156" s="12">
        <f>IF($B152="","",IFERROR(INDEX(원장입력!$A$5:$A$204,MATCH($B152&amp;"#3",원장입력!$G$5:$G$204,0)),""))</f>
        <v/>
      </c>
      <c r="B156" s="12">
        <f>IF($B152="","",IFERROR(INDEX(원장입력!$C$5:$C$204,MATCH($B152&amp;"#3",원장입력!$G$5:$G$204,0)),""))</f>
        <v/>
      </c>
      <c r="C156" s="12">
        <f>IF($B152="","",IFERROR(INDEX(원장입력!$D$5:$D$204,MATCH($B152&amp;"#3",원장입력!$G$5:$G$204,0)),""))</f>
        <v/>
      </c>
      <c r="D156" s="14">
        <f>IF($B152="","",IFERROR(INDEX(원장입력!$E$5:$E$204,MATCH($B152&amp;"#3",원장입력!$G$5:$G$204,0)),""))</f>
        <v/>
      </c>
      <c r="E156" s="14">
        <f>IF($B152="","",IFERROR(INDEX(원장입력!$F$5:$F$204,MATCH($B152&amp;"#3",원장입력!$G$5:$G$204,0)),""))</f>
        <v/>
      </c>
    </row>
    <row r="157">
      <c r="A157" s="12">
        <f>IF($B152="","",IFERROR(INDEX(원장입력!$A$5:$A$204,MATCH($B152&amp;"#4",원장입력!$G$5:$G$204,0)),""))</f>
        <v/>
      </c>
      <c r="B157" s="12">
        <f>IF($B152="","",IFERROR(INDEX(원장입력!$C$5:$C$204,MATCH($B152&amp;"#4",원장입력!$G$5:$G$204,0)),""))</f>
        <v/>
      </c>
      <c r="C157" s="12">
        <f>IF($B152="","",IFERROR(INDEX(원장입력!$D$5:$D$204,MATCH($B152&amp;"#4",원장입력!$G$5:$G$204,0)),""))</f>
        <v/>
      </c>
      <c r="D157" s="14">
        <f>IF($B152="","",IFERROR(INDEX(원장입력!$E$5:$E$204,MATCH($B152&amp;"#4",원장입력!$G$5:$G$204,0)),""))</f>
        <v/>
      </c>
      <c r="E157" s="14">
        <f>IF($B152="","",IFERROR(INDEX(원장입력!$F$5:$F$204,MATCH($B152&amp;"#4",원장입력!$G$5:$G$204,0)),""))</f>
        <v/>
      </c>
    </row>
    <row r="158">
      <c r="A158" s="12">
        <f>IF($B152="","",IFERROR(INDEX(원장입력!$A$5:$A$204,MATCH($B152&amp;"#5",원장입력!$G$5:$G$204,0)),""))</f>
        <v/>
      </c>
      <c r="B158" s="12">
        <f>IF($B152="","",IFERROR(INDEX(원장입력!$C$5:$C$204,MATCH($B152&amp;"#5",원장입력!$G$5:$G$204,0)),""))</f>
        <v/>
      </c>
      <c r="C158" s="12">
        <f>IF($B152="","",IFERROR(INDEX(원장입력!$D$5:$D$204,MATCH($B152&amp;"#5",원장입력!$G$5:$G$204,0)),""))</f>
        <v/>
      </c>
      <c r="D158" s="14">
        <f>IF($B152="","",IFERROR(INDEX(원장입력!$E$5:$E$204,MATCH($B152&amp;"#5",원장입력!$G$5:$G$204,0)),""))</f>
        <v/>
      </c>
      <c r="E158" s="14">
        <f>IF($B152="","",IFERROR(INDEX(원장입력!$F$5:$F$204,MATCH($B152&amp;"#5",원장입력!$G$5:$G$204,0)),""))</f>
        <v/>
      </c>
    </row>
    <row r="159">
      <c r="A159" s="12">
        <f>IF($B152="","",IFERROR(INDEX(원장입력!$A$5:$A$204,MATCH($B152&amp;"#6",원장입력!$G$5:$G$204,0)),""))</f>
        <v/>
      </c>
      <c r="B159" s="12">
        <f>IF($B152="","",IFERROR(INDEX(원장입력!$C$5:$C$204,MATCH($B152&amp;"#6",원장입력!$G$5:$G$204,0)),""))</f>
        <v/>
      </c>
      <c r="C159" s="12">
        <f>IF($B152="","",IFERROR(INDEX(원장입력!$D$5:$D$204,MATCH($B152&amp;"#6",원장입력!$G$5:$G$204,0)),""))</f>
        <v/>
      </c>
      <c r="D159" s="14">
        <f>IF($B152="","",IFERROR(INDEX(원장입력!$E$5:$E$204,MATCH($B152&amp;"#6",원장입력!$G$5:$G$204,0)),""))</f>
        <v/>
      </c>
      <c r="E159" s="14">
        <f>IF($B152="","",IFERROR(INDEX(원장입력!$F$5:$F$204,MATCH($B152&amp;"#6",원장입력!$G$5:$G$204,0)),""))</f>
        <v/>
      </c>
    </row>
    <row r="160">
      <c r="A160" s="12">
        <f>IF($B152="","",IFERROR(INDEX(원장입력!$A$5:$A$204,MATCH($B152&amp;"#7",원장입력!$G$5:$G$204,0)),""))</f>
        <v/>
      </c>
      <c r="B160" s="12">
        <f>IF($B152="","",IFERROR(INDEX(원장입력!$C$5:$C$204,MATCH($B152&amp;"#7",원장입력!$G$5:$G$204,0)),""))</f>
        <v/>
      </c>
      <c r="C160" s="12">
        <f>IF($B152="","",IFERROR(INDEX(원장입력!$D$5:$D$204,MATCH($B152&amp;"#7",원장입력!$G$5:$G$204,0)),""))</f>
        <v/>
      </c>
      <c r="D160" s="14">
        <f>IF($B152="","",IFERROR(INDEX(원장입력!$E$5:$E$204,MATCH($B152&amp;"#7",원장입력!$G$5:$G$204,0)),""))</f>
        <v/>
      </c>
      <c r="E160" s="14">
        <f>IF($B152="","",IFERROR(INDEX(원장입력!$F$5:$F$204,MATCH($B152&amp;"#7",원장입력!$G$5:$G$204,0)),""))</f>
        <v/>
      </c>
    </row>
    <row r="161">
      <c r="A161" s="12">
        <f>IF($B152="","",IFERROR(INDEX(원장입력!$A$5:$A$204,MATCH($B152&amp;"#8",원장입력!$G$5:$G$204,0)),""))</f>
        <v/>
      </c>
      <c r="B161" s="12">
        <f>IF($B152="","",IFERROR(INDEX(원장입력!$C$5:$C$204,MATCH($B152&amp;"#8",원장입력!$G$5:$G$204,0)),""))</f>
        <v/>
      </c>
      <c r="C161" s="12">
        <f>IF($B152="","",IFERROR(INDEX(원장입력!$D$5:$D$204,MATCH($B152&amp;"#8",원장입력!$G$5:$G$204,0)),""))</f>
        <v/>
      </c>
      <c r="D161" s="14">
        <f>IF($B152="","",IFERROR(INDEX(원장입력!$E$5:$E$204,MATCH($B152&amp;"#8",원장입력!$G$5:$G$204,0)),""))</f>
        <v/>
      </c>
      <c r="E161" s="14">
        <f>IF($B152="","",IFERROR(INDEX(원장입력!$F$5:$F$204,MATCH($B152&amp;"#8",원장입력!$G$5:$G$204,0)),""))</f>
        <v/>
      </c>
    </row>
    <row r="162">
      <c r="A162" s="12">
        <f>IF($B152="","",IFERROR(INDEX(원장입력!$A$5:$A$204,MATCH($B152&amp;"#9",원장입력!$G$5:$G$204,0)),""))</f>
        <v/>
      </c>
      <c r="B162" s="12">
        <f>IF($B152="","",IFERROR(INDEX(원장입력!$C$5:$C$204,MATCH($B152&amp;"#9",원장입력!$G$5:$G$204,0)),""))</f>
        <v/>
      </c>
      <c r="C162" s="12">
        <f>IF($B152="","",IFERROR(INDEX(원장입력!$D$5:$D$204,MATCH($B152&amp;"#9",원장입력!$G$5:$G$204,0)),""))</f>
        <v/>
      </c>
      <c r="D162" s="14">
        <f>IF($B152="","",IFERROR(INDEX(원장입력!$E$5:$E$204,MATCH($B152&amp;"#9",원장입력!$G$5:$G$204,0)),""))</f>
        <v/>
      </c>
      <c r="E162" s="14">
        <f>IF($B152="","",IFERROR(INDEX(원장입력!$F$5:$F$204,MATCH($B152&amp;"#9",원장입력!$G$5:$G$204,0)),""))</f>
        <v/>
      </c>
    </row>
    <row r="163">
      <c r="A163" s="12">
        <f>IF($B152="","",IFERROR(INDEX(원장입력!$A$5:$A$204,MATCH($B152&amp;"#10",원장입력!$G$5:$G$204,0)),""))</f>
        <v/>
      </c>
      <c r="B163" s="12">
        <f>IF($B152="","",IFERROR(INDEX(원장입력!$C$5:$C$204,MATCH($B152&amp;"#10",원장입력!$G$5:$G$204,0)),""))</f>
        <v/>
      </c>
      <c r="C163" s="12">
        <f>IF($B152="","",IFERROR(INDEX(원장입력!$D$5:$D$204,MATCH($B152&amp;"#10",원장입력!$G$5:$G$204,0)),""))</f>
        <v/>
      </c>
      <c r="D163" s="14">
        <f>IF($B152="","",IFERROR(INDEX(원장입력!$E$5:$E$204,MATCH($B152&amp;"#10",원장입력!$G$5:$G$204,0)),""))</f>
        <v/>
      </c>
      <c r="E163" s="14">
        <f>IF($B152="","",IFERROR(INDEX(원장입력!$F$5:$F$204,MATCH($B152&amp;"#10",원장입력!$G$5:$G$204,0)),""))</f>
        <v/>
      </c>
    </row>
    <row r="164">
      <c r="A164" s="12">
        <f>IF($B152="","",IFERROR(INDEX(원장입력!$A$5:$A$204,MATCH($B152&amp;"#11",원장입력!$G$5:$G$204,0)),""))</f>
        <v/>
      </c>
      <c r="B164" s="12">
        <f>IF($B152="","",IFERROR(INDEX(원장입력!$C$5:$C$204,MATCH($B152&amp;"#11",원장입력!$G$5:$G$204,0)),""))</f>
        <v/>
      </c>
      <c r="C164" s="12">
        <f>IF($B152="","",IFERROR(INDEX(원장입력!$D$5:$D$204,MATCH($B152&amp;"#11",원장입력!$G$5:$G$204,0)),""))</f>
        <v/>
      </c>
      <c r="D164" s="14">
        <f>IF($B152="","",IFERROR(INDEX(원장입력!$E$5:$E$204,MATCH($B152&amp;"#11",원장입력!$G$5:$G$204,0)),""))</f>
        <v/>
      </c>
      <c r="E164" s="14">
        <f>IF($B152="","",IFERROR(INDEX(원장입력!$F$5:$F$204,MATCH($B152&amp;"#11",원장입력!$G$5:$G$204,0)),""))</f>
        <v/>
      </c>
    </row>
    <row r="165">
      <c r="A165" s="12">
        <f>IF($B152="","",IFERROR(INDEX(원장입력!$A$5:$A$204,MATCH($B152&amp;"#12",원장입력!$G$5:$G$204,0)),""))</f>
        <v/>
      </c>
      <c r="B165" s="12">
        <f>IF($B152="","",IFERROR(INDEX(원장입력!$C$5:$C$204,MATCH($B152&amp;"#12",원장입력!$G$5:$G$204,0)),""))</f>
        <v/>
      </c>
      <c r="C165" s="12">
        <f>IF($B152="","",IFERROR(INDEX(원장입력!$D$5:$D$204,MATCH($B152&amp;"#12",원장입력!$G$5:$G$204,0)),""))</f>
        <v/>
      </c>
      <c r="D165" s="14">
        <f>IF($B152="","",IFERROR(INDEX(원장입력!$E$5:$E$204,MATCH($B152&amp;"#12",원장입력!$G$5:$G$204,0)),""))</f>
        <v/>
      </c>
      <c r="E165" s="14">
        <f>IF($B152="","",IFERROR(INDEX(원장입력!$F$5:$F$204,MATCH($B152&amp;"#12",원장입력!$G$5:$G$204,0)),""))</f>
        <v/>
      </c>
    </row>
    <row r="166">
      <c r="A166" s="12">
        <f>IF($B152="","",IFERROR(INDEX(원장입력!$A$5:$A$204,MATCH($B152&amp;"#13",원장입력!$G$5:$G$204,0)),""))</f>
        <v/>
      </c>
      <c r="B166" s="12">
        <f>IF($B152="","",IFERROR(INDEX(원장입력!$C$5:$C$204,MATCH($B152&amp;"#13",원장입력!$G$5:$G$204,0)),""))</f>
        <v/>
      </c>
      <c r="C166" s="12">
        <f>IF($B152="","",IFERROR(INDEX(원장입력!$D$5:$D$204,MATCH($B152&amp;"#13",원장입력!$G$5:$G$204,0)),""))</f>
        <v/>
      </c>
      <c r="D166" s="14">
        <f>IF($B152="","",IFERROR(INDEX(원장입력!$E$5:$E$204,MATCH($B152&amp;"#13",원장입력!$G$5:$G$204,0)),""))</f>
        <v/>
      </c>
      <c r="E166" s="14">
        <f>IF($B152="","",IFERROR(INDEX(원장입력!$F$5:$F$204,MATCH($B152&amp;"#13",원장입력!$G$5:$G$204,0)),""))</f>
        <v/>
      </c>
    </row>
    <row r="167">
      <c r="A167" s="12">
        <f>IF($B152="","",IFERROR(INDEX(원장입력!$A$5:$A$204,MATCH($B152&amp;"#14",원장입력!$G$5:$G$204,0)),""))</f>
        <v/>
      </c>
      <c r="B167" s="12">
        <f>IF($B152="","",IFERROR(INDEX(원장입력!$C$5:$C$204,MATCH($B152&amp;"#14",원장입력!$G$5:$G$204,0)),""))</f>
        <v/>
      </c>
      <c r="C167" s="12">
        <f>IF($B152="","",IFERROR(INDEX(원장입력!$D$5:$D$204,MATCH($B152&amp;"#14",원장입력!$G$5:$G$204,0)),""))</f>
        <v/>
      </c>
      <c r="D167" s="14">
        <f>IF($B152="","",IFERROR(INDEX(원장입력!$E$5:$E$204,MATCH($B152&amp;"#14",원장입력!$G$5:$G$204,0)),""))</f>
        <v/>
      </c>
      <c r="E167" s="14">
        <f>IF($B152="","",IFERROR(INDEX(원장입력!$F$5:$F$204,MATCH($B152&amp;"#14",원장입력!$G$5:$G$204,0)),""))</f>
        <v/>
      </c>
    </row>
    <row r="168">
      <c r="A168" s="12">
        <f>IF($B152="","",IFERROR(INDEX(원장입력!$A$5:$A$204,MATCH($B152&amp;"#15",원장입력!$G$5:$G$204,0)),""))</f>
        <v/>
      </c>
      <c r="B168" s="12">
        <f>IF($B152="","",IFERROR(INDEX(원장입력!$C$5:$C$204,MATCH($B152&amp;"#15",원장입력!$G$5:$G$204,0)),""))</f>
        <v/>
      </c>
      <c r="C168" s="12">
        <f>IF($B152="","",IFERROR(INDEX(원장입력!$D$5:$D$204,MATCH($B152&amp;"#15",원장입력!$G$5:$G$204,0)),""))</f>
        <v/>
      </c>
      <c r="D168" s="14">
        <f>IF($B152="","",IFERROR(INDEX(원장입력!$E$5:$E$204,MATCH($B152&amp;"#15",원장입력!$G$5:$G$204,0)),""))</f>
        <v/>
      </c>
      <c r="E168" s="14">
        <f>IF($B152="","",IFERROR(INDEX(원장입력!$F$5:$F$204,MATCH($B152&amp;"#15",원장입력!$G$5:$G$204,0)),""))</f>
        <v/>
      </c>
    </row>
    <row r="169">
      <c r="C169" s="17">
        <f>IF($B152="","","원장 합계")</f>
        <v/>
      </c>
      <c r="D169" s="14">
        <f>IF($B152="","",SUMIFS(원장입력!$E$5:$E$204,원장입력!$B$5:$B$204,$B152))</f>
        <v/>
      </c>
      <c r="E169" s="14">
        <f>IF($B152="","",SUMIFS(원장입력!$F$5:$F$204,원장입력!$B$5:$B$204,$B152))</f>
        <v/>
      </c>
    </row>
    <row r="170">
      <c r="C170" s="17">
        <f>IF($B152="","","결산 조정")</f>
        <v/>
      </c>
      <c r="D170" s="14">
        <f>IF($B152="","",SUMIFS(결산조정!$B$5:$B$104,결산조정!$A$5:$A$104,$B152))</f>
        <v/>
      </c>
      <c r="E170" s="14">
        <f>IF($B152="","",SUMIFS(결산조정!$C$5:$C$104,결산조정!$A$5:$A$104,$B152))</f>
        <v/>
      </c>
    </row>
    <row r="171"/>
    <row r="172">
      <c r="A172" s="20">
        <f>IF($B173="","","결산 조정 명세서")</f>
        <v/>
      </c>
      <c r="E172" s="5">
        <f>IF($B173="","","대상 월: 2026-09")</f>
        <v/>
      </c>
    </row>
    <row r="173">
      <c r="A173" s="3">
        <f>IF($B173="","","계정과목:")</f>
        <v/>
      </c>
      <c r="B173" s="3">
        <f>IFERROR(INDEX(결산명세서!$B$5:$B$44,9),"")</f>
        <v/>
      </c>
      <c r="D173" s="3">
        <f>IF($B173="","","당월 잔액:")</f>
        <v/>
      </c>
      <c r="E173" s="21">
        <f>IF($B173="","",INDEX(결산명세서!$G$5:$G$44,9))</f>
        <v/>
      </c>
    </row>
    <row r="174">
      <c r="A174" s="6">
        <f>IF($B173="","","날짜")</f>
        <v/>
      </c>
      <c r="B174" s="6">
        <f>IF($B173="","","거래처")</f>
        <v/>
      </c>
      <c r="C174" s="6">
        <f>IF($B173="","","적요")</f>
        <v/>
      </c>
      <c r="D174" s="6">
        <f>IF($B173="","","차변")</f>
        <v/>
      </c>
      <c r="E174" s="6">
        <f>IF($B173="","","대변")</f>
        <v/>
      </c>
    </row>
    <row r="175">
      <c r="A175" s="12">
        <f>IF($B173="","",IFERROR(INDEX(원장입력!$A$5:$A$204,MATCH($B173&amp;"#1",원장입력!$G$5:$G$204,0)),""))</f>
        <v/>
      </c>
      <c r="B175" s="12">
        <f>IF($B173="","",IFERROR(INDEX(원장입력!$C$5:$C$204,MATCH($B173&amp;"#1",원장입력!$G$5:$G$204,0)),""))</f>
        <v/>
      </c>
      <c r="C175" s="12">
        <f>IF($B173="","",IFERROR(INDEX(원장입력!$D$5:$D$204,MATCH($B173&amp;"#1",원장입력!$G$5:$G$204,0)),""))</f>
        <v/>
      </c>
      <c r="D175" s="14">
        <f>IF($B173="","",IFERROR(INDEX(원장입력!$E$5:$E$204,MATCH($B173&amp;"#1",원장입력!$G$5:$G$204,0)),""))</f>
        <v/>
      </c>
      <c r="E175" s="14">
        <f>IF($B173="","",IFERROR(INDEX(원장입력!$F$5:$F$204,MATCH($B173&amp;"#1",원장입력!$G$5:$G$204,0)),""))</f>
        <v/>
      </c>
    </row>
    <row r="176">
      <c r="A176" s="12">
        <f>IF($B173="","",IFERROR(INDEX(원장입력!$A$5:$A$204,MATCH($B173&amp;"#2",원장입력!$G$5:$G$204,0)),""))</f>
        <v/>
      </c>
      <c r="B176" s="12">
        <f>IF($B173="","",IFERROR(INDEX(원장입력!$C$5:$C$204,MATCH($B173&amp;"#2",원장입력!$G$5:$G$204,0)),""))</f>
        <v/>
      </c>
      <c r="C176" s="12">
        <f>IF($B173="","",IFERROR(INDEX(원장입력!$D$5:$D$204,MATCH($B173&amp;"#2",원장입력!$G$5:$G$204,0)),""))</f>
        <v/>
      </c>
      <c r="D176" s="14">
        <f>IF($B173="","",IFERROR(INDEX(원장입력!$E$5:$E$204,MATCH($B173&amp;"#2",원장입력!$G$5:$G$204,0)),""))</f>
        <v/>
      </c>
      <c r="E176" s="14">
        <f>IF($B173="","",IFERROR(INDEX(원장입력!$F$5:$F$204,MATCH($B173&amp;"#2",원장입력!$G$5:$G$204,0)),""))</f>
        <v/>
      </c>
    </row>
    <row r="177">
      <c r="A177" s="12">
        <f>IF($B173="","",IFERROR(INDEX(원장입력!$A$5:$A$204,MATCH($B173&amp;"#3",원장입력!$G$5:$G$204,0)),""))</f>
        <v/>
      </c>
      <c r="B177" s="12">
        <f>IF($B173="","",IFERROR(INDEX(원장입력!$C$5:$C$204,MATCH($B173&amp;"#3",원장입력!$G$5:$G$204,0)),""))</f>
        <v/>
      </c>
      <c r="C177" s="12">
        <f>IF($B173="","",IFERROR(INDEX(원장입력!$D$5:$D$204,MATCH($B173&amp;"#3",원장입력!$G$5:$G$204,0)),""))</f>
        <v/>
      </c>
      <c r="D177" s="14">
        <f>IF($B173="","",IFERROR(INDEX(원장입력!$E$5:$E$204,MATCH($B173&amp;"#3",원장입력!$G$5:$G$204,0)),""))</f>
        <v/>
      </c>
      <c r="E177" s="14">
        <f>IF($B173="","",IFERROR(INDEX(원장입력!$F$5:$F$204,MATCH($B173&amp;"#3",원장입력!$G$5:$G$204,0)),""))</f>
        <v/>
      </c>
    </row>
    <row r="178">
      <c r="A178" s="12">
        <f>IF($B173="","",IFERROR(INDEX(원장입력!$A$5:$A$204,MATCH($B173&amp;"#4",원장입력!$G$5:$G$204,0)),""))</f>
        <v/>
      </c>
      <c r="B178" s="12">
        <f>IF($B173="","",IFERROR(INDEX(원장입력!$C$5:$C$204,MATCH($B173&amp;"#4",원장입력!$G$5:$G$204,0)),""))</f>
        <v/>
      </c>
      <c r="C178" s="12">
        <f>IF($B173="","",IFERROR(INDEX(원장입력!$D$5:$D$204,MATCH($B173&amp;"#4",원장입력!$G$5:$G$204,0)),""))</f>
        <v/>
      </c>
      <c r="D178" s="14">
        <f>IF($B173="","",IFERROR(INDEX(원장입력!$E$5:$E$204,MATCH($B173&amp;"#4",원장입력!$G$5:$G$204,0)),""))</f>
        <v/>
      </c>
      <c r="E178" s="14">
        <f>IF($B173="","",IFERROR(INDEX(원장입력!$F$5:$F$204,MATCH($B173&amp;"#4",원장입력!$G$5:$G$204,0)),""))</f>
        <v/>
      </c>
    </row>
    <row r="179">
      <c r="A179" s="12">
        <f>IF($B173="","",IFERROR(INDEX(원장입력!$A$5:$A$204,MATCH($B173&amp;"#5",원장입력!$G$5:$G$204,0)),""))</f>
        <v/>
      </c>
      <c r="B179" s="12">
        <f>IF($B173="","",IFERROR(INDEX(원장입력!$C$5:$C$204,MATCH($B173&amp;"#5",원장입력!$G$5:$G$204,0)),""))</f>
        <v/>
      </c>
      <c r="C179" s="12">
        <f>IF($B173="","",IFERROR(INDEX(원장입력!$D$5:$D$204,MATCH($B173&amp;"#5",원장입력!$G$5:$G$204,0)),""))</f>
        <v/>
      </c>
      <c r="D179" s="14">
        <f>IF($B173="","",IFERROR(INDEX(원장입력!$E$5:$E$204,MATCH($B173&amp;"#5",원장입력!$G$5:$G$204,0)),""))</f>
        <v/>
      </c>
      <c r="E179" s="14">
        <f>IF($B173="","",IFERROR(INDEX(원장입력!$F$5:$F$204,MATCH($B173&amp;"#5",원장입력!$G$5:$G$204,0)),""))</f>
        <v/>
      </c>
    </row>
    <row r="180">
      <c r="A180" s="12">
        <f>IF($B173="","",IFERROR(INDEX(원장입력!$A$5:$A$204,MATCH($B173&amp;"#6",원장입력!$G$5:$G$204,0)),""))</f>
        <v/>
      </c>
      <c r="B180" s="12">
        <f>IF($B173="","",IFERROR(INDEX(원장입력!$C$5:$C$204,MATCH($B173&amp;"#6",원장입력!$G$5:$G$204,0)),""))</f>
        <v/>
      </c>
      <c r="C180" s="12">
        <f>IF($B173="","",IFERROR(INDEX(원장입력!$D$5:$D$204,MATCH($B173&amp;"#6",원장입력!$G$5:$G$204,0)),""))</f>
        <v/>
      </c>
      <c r="D180" s="14">
        <f>IF($B173="","",IFERROR(INDEX(원장입력!$E$5:$E$204,MATCH($B173&amp;"#6",원장입력!$G$5:$G$204,0)),""))</f>
        <v/>
      </c>
      <c r="E180" s="14">
        <f>IF($B173="","",IFERROR(INDEX(원장입력!$F$5:$F$204,MATCH($B173&amp;"#6",원장입력!$G$5:$G$204,0)),""))</f>
        <v/>
      </c>
    </row>
    <row r="181">
      <c r="A181" s="12">
        <f>IF($B173="","",IFERROR(INDEX(원장입력!$A$5:$A$204,MATCH($B173&amp;"#7",원장입력!$G$5:$G$204,0)),""))</f>
        <v/>
      </c>
      <c r="B181" s="12">
        <f>IF($B173="","",IFERROR(INDEX(원장입력!$C$5:$C$204,MATCH($B173&amp;"#7",원장입력!$G$5:$G$204,0)),""))</f>
        <v/>
      </c>
      <c r="C181" s="12">
        <f>IF($B173="","",IFERROR(INDEX(원장입력!$D$5:$D$204,MATCH($B173&amp;"#7",원장입력!$G$5:$G$204,0)),""))</f>
        <v/>
      </c>
      <c r="D181" s="14">
        <f>IF($B173="","",IFERROR(INDEX(원장입력!$E$5:$E$204,MATCH($B173&amp;"#7",원장입력!$G$5:$G$204,0)),""))</f>
        <v/>
      </c>
      <c r="E181" s="14">
        <f>IF($B173="","",IFERROR(INDEX(원장입력!$F$5:$F$204,MATCH($B173&amp;"#7",원장입력!$G$5:$G$204,0)),""))</f>
        <v/>
      </c>
    </row>
    <row r="182">
      <c r="A182" s="12">
        <f>IF($B173="","",IFERROR(INDEX(원장입력!$A$5:$A$204,MATCH($B173&amp;"#8",원장입력!$G$5:$G$204,0)),""))</f>
        <v/>
      </c>
      <c r="B182" s="12">
        <f>IF($B173="","",IFERROR(INDEX(원장입력!$C$5:$C$204,MATCH($B173&amp;"#8",원장입력!$G$5:$G$204,0)),""))</f>
        <v/>
      </c>
      <c r="C182" s="12">
        <f>IF($B173="","",IFERROR(INDEX(원장입력!$D$5:$D$204,MATCH($B173&amp;"#8",원장입력!$G$5:$G$204,0)),""))</f>
        <v/>
      </c>
      <c r="D182" s="14">
        <f>IF($B173="","",IFERROR(INDEX(원장입력!$E$5:$E$204,MATCH($B173&amp;"#8",원장입력!$G$5:$G$204,0)),""))</f>
        <v/>
      </c>
      <c r="E182" s="14">
        <f>IF($B173="","",IFERROR(INDEX(원장입력!$F$5:$F$204,MATCH($B173&amp;"#8",원장입력!$G$5:$G$204,0)),""))</f>
        <v/>
      </c>
    </row>
    <row r="183">
      <c r="A183" s="12">
        <f>IF($B173="","",IFERROR(INDEX(원장입력!$A$5:$A$204,MATCH($B173&amp;"#9",원장입력!$G$5:$G$204,0)),""))</f>
        <v/>
      </c>
      <c r="B183" s="12">
        <f>IF($B173="","",IFERROR(INDEX(원장입력!$C$5:$C$204,MATCH($B173&amp;"#9",원장입력!$G$5:$G$204,0)),""))</f>
        <v/>
      </c>
      <c r="C183" s="12">
        <f>IF($B173="","",IFERROR(INDEX(원장입력!$D$5:$D$204,MATCH($B173&amp;"#9",원장입력!$G$5:$G$204,0)),""))</f>
        <v/>
      </c>
      <c r="D183" s="14">
        <f>IF($B173="","",IFERROR(INDEX(원장입력!$E$5:$E$204,MATCH($B173&amp;"#9",원장입력!$G$5:$G$204,0)),""))</f>
        <v/>
      </c>
      <c r="E183" s="14">
        <f>IF($B173="","",IFERROR(INDEX(원장입력!$F$5:$F$204,MATCH($B173&amp;"#9",원장입력!$G$5:$G$204,0)),""))</f>
        <v/>
      </c>
    </row>
    <row r="184">
      <c r="A184" s="12">
        <f>IF($B173="","",IFERROR(INDEX(원장입력!$A$5:$A$204,MATCH($B173&amp;"#10",원장입력!$G$5:$G$204,0)),""))</f>
        <v/>
      </c>
      <c r="B184" s="12">
        <f>IF($B173="","",IFERROR(INDEX(원장입력!$C$5:$C$204,MATCH($B173&amp;"#10",원장입력!$G$5:$G$204,0)),""))</f>
        <v/>
      </c>
      <c r="C184" s="12">
        <f>IF($B173="","",IFERROR(INDEX(원장입력!$D$5:$D$204,MATCH($B173&amp;"#10",원장입력!$G$5:$G$204,0)),""))</f>
        <v/>
      </c>
      <c r="D184" s="14">
        <f>IF($B173="","",IFERROR(INDEX(원장입력!$E$5:$E$204,MATCH($B173&amp;"#10",원장입력!$G$5:$G$204,0)),""))</f>
        <v/>
      </c>
      <c r="E184" s="14">
        <f>IF($B173="","",IFERROR(INDEX(원장입력!$F$5:$F$204,MATCH($B173&amp;"#10",원장입력!$G$5:$G$204,0)),""))</f>
        <v/>
      </c>
    </row>
    <row r="185">
      <c r="A185" s="12">
        <f>IF($B173="","",IFERROR(INDEX(원장입력!$A$5:$A$204,MATCH($B173&amp;"#11",원장입력!$G$5:$G$204,0)),""))</f>
        <v/>
      </c>
      <c r="B185" s="12">
        <f>IF($B173="","",IFERROR(INDEX(원장입력!$C$5:$C$204,MATCH($B173&amp;"#11",원장입력!$G$5:$G$204,0)),""))</f>
        <v/>
      </c>
      <c r="C185" s="12">
        <f>IF($B173="","",IFERROR(INDEX(원장입력!$D$5:$D$204,MATCH($B173&amp;"#11",원장입력!$G$5:$G$204,0)),""))</f>
        <v/>
      </c>
      <c r="D185" s="14">
        <f>IF($B173="","",IFERROR(INDEX(원장입력!$E$5:$E$204,MATCH($B173&amp;"#11",원장입력!$G$5:$G$204,0)),""))</f>
        <v/>
      </c>
      <c r="E185" s="14">
        <f>IF($B173="","",IFERROR(INDEX(원장입력!$F$5:$F$204,MATCH($B173&amp;"#11",원장입력!$G$5:$G$204,0)),""))</f>
        <v/>
      </c>
    </row>
    <row r="186">
      <c r="A186" s="12">
        <f>IF($B173="","",IFERROR(INDEX(원장입력!$A$5:$A$204,MATCH($B173&amp;"#12",원장입력!$G$5:$G$204,0)),""))</f>
        <v/>
      </c>
      <c r="B186" s="12">
        <f>IF($B173="","",IFERROR(INDEX(원장입력!$C$5:$C$204,MATCH($B173&amp;"#12",원장입력!$G$5:$G$204,0)),""))</f>
        <v/>
      </c>
      <c r="C186" s="12">
        <f>IF($B173="","",IFERROR(INDEX(원장입력!$D$5:$D$204,MATCH($B173&amp;"#12",원장입력!$G$5:$G$204,0)),""))</f>
        <v/>
      </c>
      <c r="D186" s="14">
        <f>IF($B173="","",IFERROR(INDEX(원장입력!$E$5:$E$204,MATCH($B173&amp;"#12",원장입력!$G$5:$G$204,0)),""))</f>
        <v/>
      </c>
      <c r="E186" s="14">
        <f>IF($B173="","",IFERROR(INDEX(원장입력!$F$5:$F$204,MATCH($B173&amp;"#12",원장입력!$G$5:$G$204,0)),""))</f>
        <v/>
      </c>
    </row>
    <row r="187">
      <c r="A187" s="12">
        <f>IF($B173="","",IFERROR(INDEX(원장입력!$A$5:$A$204,MATCH($B173&amp;"#13",원장입력!$G$5:$G$204,0)),""))</f>
        <v/>
      </c>
      <c r="B187" s="12">
        <f>IF($B173="","",IFERROR(INDEX(원장입력!$C$5:$C$204,MATCH($B173&amp;"#13",원장입력!$G$5:$G$204,0)),""))</f>
        <v/>
      </c>
      <c r="C187" s="12">
        <f>IF($B173="","",IFERROR(INDEX(원장입력!$D$5:$D$204,MATCH($B173&amp;"#13",원장입력!$G$5:$G$204,0)),""))</f>
        <v/>
      </c>
      <c r="D187" s="14">
        <f>IF($B173="","",IFERROR(INDEX(원장입력!$E$5:$E$204,MATCH($B173&amp;"#13",원장입력!$G$5:$G$204,0)),""))</f>
        <v/>
      </c>
      <c r="E187" s="14">
        <f>IF($B173="","",IFERROR(INDEX(원장입력!$F$5:$F$204,MATCH($B173&amp;"#13",원장입력!$G$5:$G$204,0)),""))</f>
        <v/>
      </c>
    </row>
    <row r="188">
      <c r="A188" s="12">
        <f>IF($B173="","",IFERROR(INDEX(원장입력!$A$5:$A$204,MATCH($B173&amp;"#14",원장입력!$G$5:$G$204,0)),""))</f>
        <v/>
      </c>
      <c r="B188" s="12">
        <f>IF($B173="","",IFERROR(INDEX(원장입력!$C$5:$C$204,MATCH($B173&amp;"#14",원장입력!$G$5:$G$204,0)),""))</f>
        <v/>
      </c>
      <c r="C188" s="12">
        <f>IF($B173="","",IFERROR(INDEX(원장입력!$D$5:$D$204,MATCH($B173&amp;"#14",원장입력!$G$5:$G$204,0)),""))</f>
        <v/>
      </c>
      <c r="D188" s="14">
        <f>IF($B173="","",IFERROR(INDEX(원장입력!$E$5:$E$204,MATCH($B173&amp;"#14",원장입력!$G$5:$G$204,0)),""))</f>
        <v/>
      </c>
      <c r="E188" s="14">
        <f>IF($B173="","",IFERROR(INDEX(원장입력!$F$5:$F$204,MATCH($B173&amp;"#14",원장입력!$G$5:$G$204,0)),""))</f>
        <v/>
      </c>
    </row>
    <row r="189">
      <c r="A189" s="12">
        <f>IF($B173="","",IFERROR(INDEX(원장입력!$A$5:$A$204,MATCH($B173&amp;"#15",원장입력!$G$5:$G$204,0)),""))</f>
        <v/>
      </c>
      <c r="B189" s="12">
        <f>IF($B173="","",IFERROR(INDEX(원장입력!$C$5:$C$204,MATCH($B173&amp;"#15",원장입력!$G$5:$G$204,0)),""))</f>
        <v/>
      </c>
      <c r="C189" s="12">
        <f>IF($B173="","",IFERROR(INDEX(원장입력!$D$5:$D$204,MATCH($B173&amp;"#15",원장입력!$G$5:$G$204,0)),""))</f>
        <v/>
      </c>
      <c r="D189" s="14">
        <f>IF($B173="","",IFERROR(INDEX(원장입력!$E$5:$E$204,MATCH($B173&amp;"#15",원장입력!$G$5:$G$204,0)),""))</f>
        <v/>
      </c>
      <c r="E189" s="14">
        <f>IF($B173="","",IFERROR(INDEX(원장입력!$F$5:$F$204,MATCH($B173&amp;"#15",원장입력!$G$5:$G$204,0)),""))</f>
        <v/>
      </c>
    </row>
    <row r="190">
      <c r="C190" s="17">
        <f>IF($B173="","","원장 합계")</f>
        <v/>
      </c>
      <c r="D190" s="14">
        <f>IF($B173="","",SUMIFS(원장입력!$E$5:$E$204,원장입력!$B$5:$B$204,$B173))</f>
        <v/>
      </c>
      <c r="E190" s="14">
        <f>IF($B173="","",SUMIFS(원장입력!$F$5:$F$204,원장입력!$B$5:$B$204,$B173))</f>
        <v/>
      </c>
    </row>
    <row r="191">
      <c r="C191" s="17">
        <f>IF($B173="","","결산 조정")</f>
        <v/>
      </c>
      <c r="D191" s="14">
        <f>IF($B173="","",SUMIFS(결산조정!$B$5:$B$104,결산조정!$A$5:$A$104,$B173))</f>
        <v/>
      </c>
      <c r="E191" s="14">
        <f>IF($B173="","",SUMIFS(결산조정!$C$5:$C$104,결산조정!$A$5:$A$104,$B173))</f>
        <v/>
      </c>
    </row>
    <row r="192"/>
    <row r="193">
      <c r="A193" s="20">
        <f>IF($B194="","","결산 조정 명세서")</f>
        <v/>
      </c>
      <c r="E193" s="5">
        <f>IF($B194="","","대상 월: 2026-09")</f>
        <v/>
      </c>
    </row>
    <row r="194">
      <c r="A194" s="3">
        <f>IF($B194="","","계정과목:")</f>
        <v/>
      </c>
      <c r="B194" s="3">
        <f>IFERROR(INDEX(결산명세서!$B$5:$B$44,10),"")</f>
        <v/>
      </c>
      <c r="D194" s="3">
        <f>IF($B194="","","당월 잔액:")</f>
        <v/>
      </c>
      <c r="E194" s="21">
        <f>IF($B194="","",INDEX(결산명세서!$G$5:$G$44,10))</f>
        <v/>
      </c>
    </row>
    <row r="195">
      <c r="A195" s="6">
        <f>IF($B194="","","날짜")</f>
        <v/>
      </c>
      <c r="B195" s="6">
        <f>IF($B194="","","거래처")</f>
        <v/>
      </c>
      <c r="C195" s="6">
        <f>IF($B194="","","적요")</f>
        <v/>
      </c>
      <c r="D195" s="6">
        <f>IF($B194="","","차변")</f>
        <v/>
      </c>
      <c r="E195" s="6">
        <f>IF($B194="","","대변")</f>
        <v/>
      </c>
    </row>
    <row r="196">
      <c r="A196" s="12">
        <f>IF($B194="","",IFERROR(INDEX(원장입력!$A$5:$A$204,MATCH($B194&amp;"#1",원장입력!$G$5:$G$204,0)),""))</f>
        <v/>
      </c>
      <c r="B196" s="12">
        <f>IF($B194="","",IFERROR(INDEX(원장입력!$C$5:$C$204,MATCH($B194&amp;"#1",원장입력!$G$5:$G$204,0)),""))</f>
        <v/>
      </c>
      <c r="C196" s="12">
        <f>IF($B194="","",IFERROR(INDEX(원장입력!$D$5:$D$204,MATCH($B194&amp;"#1",원장입력!$G$5:$G$204,0)),""))</f>
        <v/>
      </c>
      <c r="D196" s="14">
        <f>IF($B194="","",IFERROR(INDEX(원장입력!$E$5:$E$204,MATCH($B194&amp;"#1",원장입력!$G$5:$G$204,0)),""))</f>
        <v/>
      </c>
      <c r="E196" s="14">
        <f>IF($B194="","",IFERROR(INDEX(원장입력!$F$5:$F$204,MATCH($B194&amp;"#1",원장입력!$G$5:$G$204,0)),""))</f>
        <v/>
      </c>
    </row>
    <row r="197">
      <c r="A197" s="12">
        <f>IF($B194="","",IFERROR(INDEX(원장입력!$A$5:$A$204,MATCH($B194&amp;"#2",원장입력!$G$5:$G$204,0)),""))</f>
        <v/>
      </c>
      <c r="B197" s="12">
        <f>IF($B194="","",IFERROR(INDEX(원장입력!$C$5:$C$204,MATCH($B194&amp;"#2",원장입력!$G$5:$G$204,0)),""))</f>
        <v/>
      </c>
      <c r="C197" s="12">
        <f>IF($B194="","",IFERROR(INDEX(원장입력!$D$5:$D$204,MATCH($B194&amp;"#2",원장입력!$G$5:$G$204,0)),""))</f>
        <v/>
      </c>
      <c r="D197" s="14">
        <f>IF($B194="","",IFERROR(INDEX(원장입력!$E$5:$E$204,MATCH($B194&amp;"#2",원장입력!$G$5:$G$204,0)),""))</f>
        <v/>
      </c>
      <c r="E197" s="14">
        <f>IF($B194="","",IFERROR(INDEX(원장입력!$F$5:$F$204,MATCH($B194&amp;"#2",원장입력!$G$5:$G$204,0)),""))</f>
        <v/>
      </c>
    </row>
    <row r="198">
      <c r="A198" s="12">
        <f>IF($B194="","",IFERROR(INDEX(원장입력!$A$5:$A$204,MATCH($B194&amp;"#3",원장입력!$G$5:$G$204,0)),""))</f>
        <v/>
      </c>
      <c r="B198" s="12">
        <f>IF($B194="","",IFERROR(INDEX(원장입력!$C$5:$C$204,MATCH($B194&amp;"#3",원장입력!$G$5:$G$204,0)),""))</f>
        <v/>
      </c>
      <c r="C198" s="12">
        <f>IF($B194="","",IFERROR(INDEX(원장입력!$D$5:$D$204,MATCH($B194&amp;"#3",원장입력!$G$5:$G$204,0)),""))</f>
        <v/>
      </c>
      <c r="D198" s="14">
        <f>IF($B194="","",IFERROR(INDEX(원장입력!$E$5:$E$204,MATCH($B194&amp;"#3",원장입력!$G$5:$G$204,0)),""))</f>
        <v/>
      </c>
      <c r="E198" s="14">
        <f>IF($B194="","",IFERROR(INDEX(원장입력!$F$5:$F$204,MATCH($B194&amp;"#3",원장입력!$G$5:$G$204,0)),""))</f>
        <v/>
      </c>
    </row>
    <row r="199">
      <c r="A199" s="12">
        <f>IF($B194="","",IFERROR(INDEX(원장입력!$A$5:$A$204,MATCH($B194&amp;"#4",원장입력!$G$5:$G$204,0)),""))</f>
        <v/>
      </c>
      <c r="B199" s="12">
        <f>IF($B194="","",IFERROR(INDEX(원장입력!$C$5:$C$204,MATCH($B194&amp;"#4",원장입력!$G$5:$G$204,0)),""))</f>
        <v/>
      </c>
      <c r="C199" s="12">
        <f>IF($B194="","",IFERROR(INDEX(원장입력!$D$5:$D$204,MATCH($B194&amp;"#4",원장입력!$G$5:$G$204,0)),""))</f>
        <v/>
      </c>
      <c r="D199" s="14">
        <f>IF($B194="","",IFERROR(INDEX(원장입력!$E$5:$E$204,MATCH($B194&amp;"#4",원장입력!$G$5:$G$204,0)),""))</f>
        <v/>
      </c>
      <c r="E199" s="14">
        <f>IF($B194="","",IFERROR(INDEX(원장입력!$F$5:$F$204,MATCH($B194&amp;"#4",원장입력!$G$5:$G$204,0)),""))</f>
        <v/>
      </c>
    </row>
    <row r="200">
      <c r="A200" s="12">
        <f>IF($B194="","",IFERROR(INDEX(원장입력!$A$5:$A$204,MATCH($B194&amp;"#5",원장입력!$G$5:$G$204,0)),""))</f>
        <v/>
      </c>
      <c r="B200" s="12">
        <f>IF($B194="","",IFERROR(INDEX(원장입력!$C$5:$C$204,MATCH($B194&amp;"#5",원장입력!$G$5:$G$204,0)),""))</f>
        <v/>
      </c>
      <c r="C200" s="12">
        <f>IF($B194="","",IFERROR(INDEX(원장입력!$D$5:$D$204,MATCH($B194&amp;"#5",원장입력!$G$5:$G$204,0)),""))</f>
        <v/>
      </c>
      <c r="D200" s="14">
        <f>IF($B194="","",IFERROR(INDEX(원장입력!$E$5:$E$204,MATCH($B194&amp;"#5",원장입력!$G$5:$G$204,0)),""))</f>
        <v/>
      </c>
      <c r="E200" s="14">
        <f>IF($B194="","",IFERROR(INDEX(원장입력!$F$5:$F$204,MATCH($B194&amp;"#5",원장입력!$G$5:$G$204,0)),""))</f>
        <v/>
      </c>
    </row>
    <row r="201">
      <c r="A201" s="12">
        <f>IF($B194="","",IFERROR(INDEX(원장입력!$A$5:$A$204,MATCH($B194&amp;"#6",원장입력!$G$5:$G$204,0)),""))</f>
        <v/>
      </c>
      <c r="B201" s="12">
        <f>IF($B194="","",IFERROR(INDEX(원장입력!$C$5:$C$204,MATCH($B194&amp;"#6",원장입력!$G$5:$G$204,0)),""))</f>
        <v/>
      </c>
      <c r="C201" s="12">
        <f>IF($B194="","",IFERROR(INDEX(원장입력!$D$5:$D$204,MATCH($B194&amp;"#6",원장입력!$G$5:$G$204,0)),""))</f>
        <v/>
      </c>
      <c r="D201" s="14">
        <f>IF($B194="","",IFERROR(INDEX(원장입력!$E$5:$E$204,MATCH($B194&amp;"#6",원장입력!$G$5:$G$204,0)),""))</f>
        <v/>
      </c>
      <c r="E201" s="14">
        <f>IF($B194="","",IFERROR(INDEX(원장입력!$F$5:$F$204,MATCH($B194&amp;"#6",원장입력!$G$5:$G$204,0)),""))</f>
        <v/>
      </c>
    </row>
    <row r="202">
      <c r="A202" s="12">
        <f>IF($B194="","",IFERROR(INDEX(원장입력!$A$5:$A$204,MATCH($B194&amp;"#7",원장입력!$G$5:$G$204,0)),""))</f>
        <v/>
      </c>
      <c r="B202" s="12">
        <f>IF($B194="","",IFERROR(INDEX(원장입력!$C$5:$C$204,MATCH($B194&amp;"#7",원장입력!$G$5:$G$204,0)),""))</f>
        <v/>
      </c>
      <c r="C202" s="12">
        <f>IF($B194="","",IFERROR(INDEX(원장입력!$D$5:$D$204,MATCH($B194&amp;"#7",원장입력!$G$5:$G$204,0)),""))</f>
        <v/>
      </c>
      <c r="D202" s="14">
        <f>IF($B194="","",IFERROR(INDEX(원장입력!$E$5:$E$204,MATCH($B194&amp;"#7",원장입력!$G$5:$G$204,0)),""))</f>
        <v/>
      </c>
      <c r="E202" s="14">
        <f>IF($B194="","",IFERROR(INDEX(원장입력!$F$5:$F$204,MATCH($B194&amp;"#7",원장입력!$G$5:$G$204,0)),""))</f>
        <v/>
      </c>
    </row>
    <row r="203">
      <c r="A203" s="12">
        <f>IF($B194="","",IFERROR(INDEX(원장입력!$A$5:$A$204,MATCH($B194&amp;"#8",원장입력!$G$5:$G$204,0)),""))</f>
        <v/>
      </c>
      <c r="B203" s="12">
        <f>IF($B194="","",IFERROR(INDEX(원장입력!$C$5:$C$204,MATCH($B194&amp;"#8",원장입력!$G$5:$G$204,0)),""))</f>
        <v/>
      </c>
      <c r="C203" s="12">
        <f>IF($B194="","",IFERROR(INDEX(원장입력!$D$5:$D$204,MATCH($B194&amp;"#8",원장입력!$G$5:$G$204,0)),""))</f>
        <v/>
      </c>
      <c r="D203" s="14">
        <f>IF($B194="","",IFERROR(INDEX(원장입력!$E$5:$E$204,MATCH($B194&amp;"#8",원장입력!$G$5:$G$204,0)),""))</f>
        <v/>
      </c>
      <c r="E203" s="14">
        <f>IF($B194="","",IFERROR(INDEX(원장입력!$F$5:$F$204,MATCH($B194&amp;"#8",원장입력!$G$5:$G$204,0)),""))</f>
        <v/>
      </c>
    </row>
    <row r="204">
      <c r="A204" s="12">
        <f>IF($B194="","",IFERROR(INDEX(원장입력!$A$5:$A$204,MATCH($B194&amp;"#9",원장입력!$G$5:$G$204,0)),""))</f>
        <v/>
      </c>
      <c r="B204" s="12">
        <f>IF($B194="","",IFERROR(INDEX(원장입력!$C$5:$C$204,MATCH($B194&amp;"#9",원장입력!$G$5:$G$204,0)),""))</f>
        <v/>
      </c>
      <c r="C204" s="12">
        <f>IF($B194="","",IFERROR(INDEX(원장입력!$D$5:$D$204,MATCH($B194&amp;"#9",원장입력!$G$5:$G$204,0)),""))</f>
        <v/>
      </c>
      <c r="D204" s="14">
        <f>IF($B194="","",IFERROR(INDEX(원장입력!$E$5:$E$204,MATCH($B194&amp;"#9",원장입력!$G$5:$G$204,0)),""))</f>
        <v/>
      </c>
      <c r="E204" s="14">
        <f>IF($B194="","",IFERROR(INDEX(원장입력!$F$5:$F$204,MATCH($B194&amp;"#9",원장입력!$G$5:$G$204,0)),""))</f>
        <v/>
      </c>
    </row>
    <row r="205">
      <c r="A205" s="12">
        <f>IF($B194="","",IFERROR(INDEX(원장입력!$A$5:$A$204,MATCH($B194&amp;"#10",원장입력!$G$5:$G$204,0)),""))</f>
        <v/>
      </c>
      <c r="B205" s="12">
        <f>IF($B194="","",IFERROR(INDEX(원장입력!$C$5:$C$204,MATCH($B194&amp;"#10",원장입력!$G$5:$G$204,0)),""))</f>
        <v/>
      </c>
      <c r="C205" s="12">
        <f>IF($B194="","",IFERROR(INDEX(원장입력!$D$5:$D$204,MATCH($B194&amp;"#10",원장입력!$G$5:$G$204,0)),""))</f>
        <v/>
      </c>
      <c r="D205" s="14">
        <f>IF($B194="","",IFERROR(INDEX(원장입력!$E$5:$E$204,MATCH($B194&amp;"#10",원장입력!$G$5:$G$204,0)),""))</f>
        <v/>
      </c>
      <c r="E205" s="14">
        <f>IF($B194="","",IFERROR(INDEX(원장입력!$F$5:$F$204,MATCH($B194&amp;"#10",원장입력!$G$5:$G$204,0)),""))</f>
        <v/>
      </c>
    </row>
    <row r="206">
      <c r="A206" s="12">
        <f>IF($B194="","",IFERROR(INDEX(원장입력!$A$5:$A$204,MATCH($B194&amp;"#11",원장입력!$G$5:$G$204,0)),""))</f>
        <v/>
      </c>
      <c r="B206" s="12">
        <f>IF($B194="","",IFERROR(INDEX(원장입력!$C$5:$C$204,MATCH($B194&amp;"#11",원장입력!$G$5:$G$204,0)),""))</f>
        <v/>
      </c>
      <c r="C206" s="12">
        <f>IF($B194="","",IFERROR(INDEX(원장입력!$D$5:$D$204,MATCH($B194&amp;"#11",원장입력!$G$5:$G$204,0)),""))</f>
        <v/>
      </c>
      <c r="D206" s="14">
        <f>IF($B194="","",IFERROR(INDEX(원장입력!$E$5:$E$204,MATCH($B194&amp;"#11",원장입력!$G$5:$G$204,0)),""))</f>
        <v/>
      </c>
      <c r="E206" s="14">
        <f>IF($B194="","",IFERROR(INDEX(원장입력!$F$5:$F$204,MATCH($B194&amp;"#11",원장입력!$G$5:$G$204,0)),""))</f>
        <v/>
      </c>
    </row>
    <row r="207">
      <c r="A207" s="12">
        <f>IF($B194="","",IFERROR(INDEX(원장입력!$A$5:$A$204,MATCH($B194&amp;"#12",원장입력!$G$5:$G$204,0)),""))</f>
        <v/>
      </c>
      <c r="B207" s="12">
        <f>IF($B194="","",IFERROR(INDEX(원장입력!$C$5:$C$204,MATCH($B194&amp;"#12",원장입력!$G$5:$G$204,0)),""))</f>
        <v/>
      </c>
      <c r="C207" s="12">
        <f>IF($B194="","",IFERROR(INDEX(원장입력!$D$5:$D$204,MATCH($B194&amp;"#12",원장입력!$G$5:$G$204,0)),""))</f>
        <v/>
      </c>
      <c r="D207" s="14">
        <f>IF($B194="","",IFERROR(INDEX(원장입력!$E$5:$E$204,MATCH($B194&amp;"#12",원장입력!$G$5:$G$204,0)),""))</f>
        <v/>
      </c>
      <c r="E207" s="14">
        <f>IF($B194="","",IFERROR(INDEX(원장입력!$F$5:$F$204,MATCH($B194&amp;"#12",원장입력!$G$5:$G$204,0)),""))</f>
        <v/>
      </c>
    </row>
    <row r="208">
      <c r="A208" s="12">
        <f>IF($B194="","",IFERROR(INDEX(원장입력!$A$5:$A$204,MATCH($B194&amp;"#13",원장입력!$G$5:$G$204,0)),""))</f>
        <v/>
      </c>
      <c r="B208" s="12">
        <f>IF($B194="","",IFERROR(INDEX(원장입력!$C$5:$C$204,MATCH($B194&amp;"#13",원장입력!$G$5:$G$204,0)),""))</f>
        <v/>
      </c>
      <c r="C208" s="12">
        <f>IF($B194="","",IFERROR(INDEX(원장입력!$D$5:$D$204,MATCH($B194&amp;"#13",원장입력!$G$5:$G$204,0)),""))</f>
        <v/>
      </c>
      <c r="D208" s="14">
        <f>IF($B194="","",IFERROR(INDEX(원장입력!$E$5:$E$204,MATCH($B194&amp;"#13",원장입력!$G$5:$G$204,0)),""))</f>
        <v/>
      </c>
      <c r="E208" s="14">
        <f>IF($B194="","",IFERROR(INDEX(원장입력!$F$5:$F$204,MATCH($B194&amp;"#13",원장입력!$G$5:$G$204,0)),""))</f>
        <v/>
      </c>
    </row>
    <row r="209">
      <c r="A209" s="12">
        <f>IF($B194="","",IFERROR(INDEX(원장입력!$A$5:$A$204,MATCH($B194&amp;"#14",원장입력!$G$5:$G$204,0)),""))</f>
        <v/>
      </c>
      <c r="B209" s="12">
        <f>IF($B194="","",IFERROR(INDEX(원장입력!$C$5:$C$204,MATCH($B194&amp;"#14",원장입력!$G$5:$G$204,0)),""))</f>
        <v/>
      </c>
      <c r="C209" s="12">
        <f>IF($B194="","",IFERROR(INDEX(원장입력!$D$5:$D$204,MATCH($B194&amp;"#14",원장입력!$G$5:$G$204,0)),""))</f>
        <v/>
      </c>
      <c r="D209" s="14">
        <f>IF($B194="","",IFERROR(INDEX(원장입력!$E$5:$E$204,MATCH($B194&amp;"#14",원장입력!$G$5:$G$204,0)),""))</f>
        <v/>
      </c>
      <c r="E209" s="14">
        <f>IF($B194="","",IFERROR(INDEX(원장입력!$F$5:$F$204,MATCH($B194&amp;"#14",원장입력!$G$5:$G$204,0)),""))</f>
        <v/>
      </c>
    </row>
    <row r="210">
      <c r="A210" s="12">
        <f>IF($B194="","",IFERROR(INDEX(원장입력!$A$5:$A$204,MATCH($B194&amp;"#15",원장입력!$G$5:$G$204,0)),""))</f>
        <v/>
      </c>
      <c r="B210" s="12">
        <f>IF($B194="","",IFERROR(INDEX(원장입력!$C$5:$C$204,MATCH($B194&amp;"#15",원장입력!$G$5:$G$204,0)),""))</f>
        <v/>
      </c>
      <c r="C210" s="12">
        <f>IF($B194="","",IFERROR(INDEX(원장입력!$D$5:$D$204,MATCH($B194&amp;"#15",원장입력!$G$5:$G$204,0)),""))</f>
        <v/>
      </c>
      <c r="D210" s="14">
        <f>IF($B194="","",IFERROR(INDEX(원장입력!$E$5:$E$204,MATCH($B194&amp;"#15",원장입력!$G$5:$G$204,0)),""))</f>
        <v/>
      </c>
      <c r="E210" s="14">
        <f>IF($B194="","",IFERROR(INDEX(원장입력!$F$5:$F$204,MATCH($B194&amp;"#15",원장입력!$G$5:$G$204,0)),""))</f>
        <v/>
      </c>
    </row>
    <row r="211">
      <c r="C211" s="17">
        <f>IF($B194="","","원장 합계")</f>
        <v/>
      </c>
      <c r="D211" s="14">
        <f>IF($B194="","",SUMIFS(원장입력!$E$5:$E$204,원장입력!$B$5:$B$204,$B194))</f>
        <v/>
      </c>
      <c r="E211" s="14">
        <f>IF($B194="","",SUMIFS(원장입력!$F$5:$F$204,원장입력!$B$5:$B$204,$B194))</f>
        <v/>
      </c>
    </row>
    <row r="212">
      <c r="C212" s="17">
        <f>IF($B194="","","결산 조정")</f>
        <v/>
      </c>
      <c r="D212" s="14">
        <f>IF($B194="","",SUMIFS(결산조정!$B$5:$B$104,결산조정!$A$5:$A$104,$B194))</f>
        <v/>
      </c>
      <c r="E212" s="14">
        <f>IF($B194="","",SUMIFS(결산조정!$C$5:$C$104,결산조정!$A$5:$A$104,$B194))</f>
        <v/>
      </c>
    </row>
    <row r="213"/>
    <row r="214">
      <c r="A214" s="20">
        <f>IF($B215="","","결산 조정 명세서")</f>
        <v/>
      </c>
      <c r="E214" s="5">
        <f>IF($B215="","","대상 월: 2026-09")</f>
        <v/>
      </c>
    </row>
    <row r="215">
      <c r="A215" s="3">
        <f>IF($B215="","","계정과목:")</f>
        <v/>
      </c>
      <c r="B215" s="3">
        <f>IFERROR(INDEX(결산명세서!$B$5:$B$44,11),"")</f>
        <v/>
      </c>
      <c r="D215" s="3">
        <f>IF($B215="","","당월 잔액:")</f>
        <v/>
      </c>
      <c r="E215" s="21">
        <f>IF($B215="","",INDEX(결산명세서!$G$5:$G$44,11))</f>
        <v/>
      </c>
    </row>
    <row r="216">
      <c r="A216" s="6">
        <f>IF($B215="","","날짜")</f>
        <v/>
      </c>
      <c r="B216" s="6">
        <f>IF($B215="","","거래처")</f>
        <v/>
      </c>
      <c r="C216" s="6">
        <f>IF($B215="","","적요")</f>
        <v/>
      </c>
      <c r="D216" s="6">
        <f>IF($B215="","","차변")</f>
        <v/>
      </c>
      <c r="E216" s="6">
        <f>IF($B215="","","대변")</f>
        <v/>
      </c>
    </row>
    <row r="217">
      <c r="A217" s="12">
        <f>IF($B215="","",IFERROR(INDEX(원장입력!$A$5:$A$204,MATCH($B215&amp;"#1",원장입력!$G$5:$G$204,0)),""))</f>
        <v/>
      </c>
      <c r="B217" s="12">
        <f>IF($B215="","",IFERROR(INDEX(원장입력!$C$5:$C$204,MATCH($B215&amp;"#1",원장입력!$G$5:$G$204,0)),""))</f>
        <v/>
      </c>
      <c r="C217" s="12">
        <f>IF($B215="","",IFERROR(INDEX(원장입력!$D$5:$D$204,MATCH($B215&amp;"#1",원장입력!$G$5:$G$204,0)),""))</f>
        <v/>
      </c>
      <c r="D217" s="14">
        <f>IF($B215="","",IFERROR(INDEX(원장입력!$E$5:$E$204,MATCH($B215&amp;"#1",원장입력!$G$5:$G$204,0)),""))</f>
        <v/>
      </c>
      <c r="E217" s="14">
        <f>IF($B215="","",IFERROR(INDEX(원장입력!$F$5:$F$204,MATCH($B215&amp;"#1",원장입력!$G$5:$G$204,0)),""))</f>
        <v/>
      </c>
    </row>
    <row r="218">
      <c r="A218" s="12">
        <f>IF($B215="","",IFERROR(INDEX(원장입력!$A$5:$A$204,MATCH($B215&amp;"#2",원장입력!$G$5:$G$204,0)),""))</f>
        <v/>
      </c>
      <c r="B218" s="12">
        <f>IF($B215="","",IFERROR(INDEX(원장입력!$C$5:$C$204,MATCH($B215&amp;"#2",원장입력!$G$5:$G$204,0)),""))</f>
        <v/>
      </c>
      <c r="C218" s="12">
        <f>IF($B215="","",IFERROR(INDEX(원장입력!$D$5:$D$204,MATCH($B215&amp;"#2",원장입력!$G$5:$G$204,0)),""))</f>
        <v/>
      </c>
      <c r="D218" s="14">
        <f>IF($B215="","",IFERROR(INDEX(원장입력!$E$5:$E$204,MATCH($B215&amp;"#2",원장입력!$G$5:$G$204,0)),""))</f>
        <v/>
      </c>
      <c r="E218" s="14">
        <f>IF($B215="","",IFERROR(INDEX(원장입력!$F$5:$F$204,MATCH($B215&amp;"#2",원장입력!$G$5:$G$204,0)),""))</f>
        <v/>
      </c>
    </row>
    <row r="219">
      <c r="A219" s="12">
        <f>IF($B215="","",IFERROR(INDEX(원장입력!$A$5:$A$204,MATCH($B215&amp;"#3",원장입력!$G$5:$G$204,0)),""))</f>
        <v/>
      </c>
      <c r="B219" s="12">
        <f>IF($B215="","",IFERROR(INDEX(원장입력!$C$5:$C$204,MATCH($B215&amp;"#3",원장입력!$G$5:$G$204,0)),""))</f>
        <v/>
      </c>
      <c r="C219" s="12">
        <f>IF($B215="","",IFERROR(INDEX(원장입력!$D$5:$D$204,MATCH($B215&amp;"#3",원장입력!$G$5:$G$204,0)),""))</f>
        <v/>
      </c>
      <c r="D219" s="14">
        <f>IF($B215="","",IFERROR(INDEX(원장입력!$E$5:$E$204,MATCH($B215&amp;"#3",원장입력!$G$5:$G$204,0)),""))</f>
        <v/>
      </c>
      <c r="E219" s="14">
        <f>IF($B215="","",IFERROR(INDEX(원장입력!$F$5:$F$204,MATCH($B215&amp;"#3",원장입력!$G$5:$G$204,0)),""))</f>
        <v/>
      </c>
    </row>
    <row r="220">
      <c r="A220" s="12">
        <f>IF($B215="","",IFERROR(INDEX(원장입력!$A$5:$A$204,MATCH($B215&amp;"#4",원장입력!$G$5:$G$204,0)),""))</f>
        <v/>
      </c>
      <c r="B220" s="12">
        <f>IF($B215="","",IFERROR(INDEX(원장입력!$C$5:$C$204,MATCH($B215&amp;"#4",원장입력!$G$5:$G$204,0)),""))</f>
        <v/>
      </c>
      <c r="C220" s="12">
        <f>IF($B215="","",IFERROR(INDEX(원장입력!$D$5:$D$204,MATCH($B215&amp;"#4",원장입력!$G$5:$G$204,0)),""))</f>
        <v/>
      </c>
      <c r="D220" s="14">
        <f>IF($B215="","",IFERROR(INDEX(원장입력!$E$5:$E$204,MATCH($B215&amp;"#4",원장입력!$G$5:$G$204,0)),""))</f>
        <v/>
      </c>
      <c r="E220" s="14">
        <f>IF($B215="","",IFERROR(INDEX(원장입력!$F$5:$F$204,MATCH($B215&amp;"#4",원장입력!$G$5:$G$204,0)),""))</f>
        <v/>
      </c>
    </row>
    <row r="221">
      <c r="A221" s="12">
        <f>IF($B215="","",IFERROR(INDEX(원장입력!$A$5:$A$204,MATCH($B215&amp;"#5",원장입력!$G$5:$G$204,0)),""))</f>
        <v/>
      </c>
      <c r="B221" s="12">
        <f>IF($B215="","",IFERROR(INDEX(원장입력!$C$5:$C$204,MATCH($B215&amp;"#5",원장입력!$G$5:$G$204,0)),""))</f>
        <v/>
      </c>
      <c r="C221" s="12">
        <f>IF($B215="","",IFERROR(INDEX(원장입력!$D$5:$D$204,MATCH($B215&amp;"#5",원장입력!$G$5:$G$204,0)),""))</f>
        <v/>
      </c>
      <c r="D221" s="14">
        <f>IF($B215="","",IFERROR(INDEX(원장입력!$E$5:$E$204,MATCH($B215&amp;"#5",원장입력!$G$5:$G$204,0)),""))</f>
        <v/>
      </c>
      <c r="E221" s="14">
        <f>IF($B215="","",IFERROR(INDEX(원장입력!$F$5:$F$204,MATCH($B215&amp;"#5",원장입력!$G$5:$G$204,0)),""))</f>
        <v/>
      </c>
    </row>
    <row r="222">
      <c r="A222" s="12">
        <f>IF($B215="","",IFERROR(INDEX(원장입력!$A$5:$A$204,MATCH($B215&amp;"#6",원장입력!$G$5:$G$204,0)),""))</f>
        <v/>
      </c>
      <c r="B222" s="12">
        <f>IF($B215="","",IFERROR(INDEX(원장입력!$C$5:$C$204,MATCH($B215&amp;"#6",원장입력!$G$5:$G$204,0)),""))</f>
        <v/>
      </c>
      <c r="C222" s="12">
        <f>IF($B215="","",IFERROR(INDEX(원장입력!$D$5:$D$204,MATCH($B215&amp;"#6",원장입력!$G$5:$G$204,0)),""))</f>
        <v/>
      </c>
      <c r="D222" s="14">
        <f>IF($B215="","",IFERROR(INDEX(원장입력!$E$5:$E$204,MATCH($B215&amp;"#6",원장입력!$G$5:$G$204,0)),""))</f>
        <v/>
      </c>
      <c r="E222" s="14">
        <f>IF($B215="","",IFERROR(INDEX(원장입력!$F$5:$F$204,MATCH($B215&amp;"#6",원장입력!$G$5:$G$204,0)),""))</f>
        <v/>
      </c>
    </row>
    <row r="223">
      <c r="A223" s="12">
        <f>IF($B215="","",IFERROR(INDEX(원장입력!$A$5:$A$204,MATCH($B215&amp;"#7",원장입력!$G$5:$G$204,0)),""))</f>
        <v/>
      </c>
      <c r="B223" s="12">
        <f>IF($B215="","",IFERROR(INDEX(원장입력!$C$5:$C$204,MATCH($B215&amp;"#7",원장입력!$G$5:$G$204,0)),""))</f>
        <v/>
      </c>
      <c r="C223" s="12">
        <f>IF($B215="","",IFERROR(INDEX(원장입력!$D$5:$D$204,MATCH($B215&amp;"#7",원장입력!$G$5:$G$204,0)),""))</f>
        <v/>
      </c>
      <c r="D223" s="14">
        <f>IF($B215="","",IFERROR(INDEX(원장입력!$E$5:$E$204,MATCH($B215&amp;"#7",원장입력!$G$5:$G$204,0)),""))</f>
        <v/>
      </c>
      <c r="E223" s="14">
        <f>IF($B215="","",IFERROR(INDEX(원장입력!$F$5:$F$204,MATCH($B215&amp;"#7",원장입력!$G$5:$G$204,0)),""))</f>
        <v/>
      </c>
    </row>
    <row r="224">
      <c r="A224" s="12">
        <f>IF($B215="","",IFERROR(INDEX(원장입력!$A$5:$A$204,MATCH($B215&amp;"#8",원장입력!$G$5:$G$204,0)),""))</f>
        <v/>
      </c>
      <c r="B224" s="12">
        <f>IF($B215="","",IFERROR(INDEX(원장입력!$C$5:$C$204,MATCH($B215&amp;"#8",원장입력!$G$5:$G$204,0)),""))</f>
        <v/>
      </c>
      <c r="C224" s="12">
        <f>IF($B215="","",IFERROR(INDEX(원장입력!$D$5:$D$204,MATCH($B215&amp;"#8",원장입력!$G$5:$G$204,0)),""))</f>
        <v/>
      </c>
      <c r="D224" s="14">
        <f>IF($B215="","",IFERROR(INDEX(원장입력!$E$5:$E$204,MATCH($B215&amp;"#8",원장입력!$G$5:$G$204,0)),""))</f>
        <v/>
      </c>
      <c r="E224" s="14">
        <f>IF($B215="","",IFERROR(INDEX(원장입력!$F$5:$F$204,MATCH($B215&amp;"#8",원장입력!$G$5:$G$204,0)),""))</f>
        <v/>
      </c>
    </row>
    <row r="225">
      <c r="A225" s="12">
        <f>IF($B215="","",IFERROR(INDEX(원장입력!$A$5:$A$204,MATCH($B215&amp;"#9",원장입력!$G$5:$G$204,0)),""))</f>
        <v/>
      </c>
      <c r="B225" s="12">
        <f>IF($B215="","",IFERROR(INDEX(원장입력!$C$5:$C$204,MATCH($B215&amp;"#9",원장입력!$G$5:$G$204,0)),""))</f>
        <v/>
      </c>
      <c r="C225" s="12">
        <f>IF($B215="","",IFERROR(INDEX(원장입력!$D$5:$D$204,MATCH($B215&amp;"#9",원장입력!$G$5:$G$204,0)),""))</f>
        <v/>
      </c>
      <c r="D225" s="14">
        <f>IF($B215="","",IFERROR(INDEX(원장입력!$E$5:$E$204,MATCH($B215&amp;"#9",원장입력!$G$5:$G$204,0)),""))</f>
        <v/>
      </c>
      <c r="E225" s="14">
        <f>IF($B215="","",IFERROR(INDEX(원장입력!$F$5:$F$204,MATCH($B215&amp;"#9",원장입력!$G$5:$G$204,0)),""))</f>
        <v/>
      </c>
    </row>
    <row r="226">
      <c r="A226" s="12">
        <f>IF($B215="","",IFERROR(INDEX(원장입력!$A$5:$A$204,MATCH($B215&amp;"#10",원장입력!$G$5:$G$204,0)),""))</f>
        <v/>
      </c>
      <c r="B226" s="12">
        <f>IF($B215="","",IFERROR(INDEX(원장입력!$C$5:$C$204,MATCH($B215&amp;"#10",원장입력!$G$5:$G$204,0)),""))</f>
        <v/>
      </c>
      <c r="C226" s="12">
        <f>IF($B215="","",IFERROR(INDEX(원장입력!$D$5:$D$204,MATCH($B215&amp;"#10",원장입력!$G$5:$G$204,0)),""))</f>
        <v/>
      </c>
      <c r="D226" s="14">
        <f>IF($B215="","",IFERROR(INDEX(원장입력!$E$5:$E$204,MATCH($B215&amp;"#10",원장입력!$G$5:$G$204,0)),""))</f>
        <v/>
      </c>
      <c r="E226" s="14">
        <f>IF($B215="","",IFERROR(INDEX(원장입력!$F$5:$F$204,MATCH($B215&amp;"#10",원장입력!$G$5:$G$204,0)),""))</f>
        <v/>
      </c>
    </row>
    <row r="227">
      <c r="A227" s="12">
        <f>IF($B215="","",IFERROR(INDEX(원장입력!$A$5:$A$204,MATCH($B215&amp;"#11",원장입력!$G$5:$G$204,0)),""))</f>
        <v/>
      </c>
      <c r="B227" s="12">
        <f>IF($B215="","",IFERROR(INDEX(원장입력!$C$5:$C$204,MATCH($B215&amp;"#11",원장입력!$G$5:$G$204,0)),""))</f>
        <v/>
      </c>
      <c r="C227" s="12">
        <f>IF($B215="","",IFERROR(INDEX(원장입력!$D$5:$D$204,MATCH($B215&amp;"#11",원장입력!$G$5:$G$204,0)),""))</f>
        <v/>
      </c>
      <c r="D227" s="14">
        <f>IF($B215="","",IFERROR(INDEX(원장입력!$E$5:$E$204,MATCH($B215&amp;"#11",원장입력!$G$5:$G$204,0)),""))</f>
        <v/>
      </c>
      <c r="E227" s="14">
        <f>IF($B215="","",IFERROR(INDEX(원장입력!$F$5:$F$204,MATCH($B215&amp;"#11",원장입력!$G$5:$G$204,0)),""))</f>
        <v/>
      </c>
    </row>
    <row r="228">
      <c r="A228" s="12">
        <f>IF($B215="","",IFERROR(INDEX(원장입력!$A$5:$A$204,MATCH($B215&amp;"#12",원장입력!$G$5:$G$204,0)),""))</f>
        <v/>
      </c>
      <c r="B228" s="12">
        <f>IF($B215="","",IFERROR(INDEX(원장입력!$C$5:$C$204,MATCH($B215&amp;"#12",원장입력!$G$5:$G$204,0)),""))</f>
        <v/>
      </c>
      <c r="C228" s="12">
        <f>IF($B215="","",IFERROR(INDEX(원장입력!$D$5:$D$204,MATCH($B215&amp;"#12",원장입력!$G$5:$G$204,0)),""))</f>
        <v/>
      </c>
      <c r="D228" s="14">
        <f>IF($B215="","",IFERROR(INDEX(원장입력!$E$5:$E$204,MATCH($B215&amp;"#12",원장입력!$G$5:$G$204,0)),""))</f>
        <v/>
      </c>
      <c r="E228" s="14">
        <f>IF($B215="","",IFERROR(INDEX(원장입력!$F$5:$F$204,MATCH($B215&amp;"#12",원장입력!$G$5:$G$204,0)),""))</f>
        <v/>
      </c>
    </row>
    <row r="229">
      <c r="A229" s="12">
        <f>IF($B215="","",IFERROR(INDEX(원장입력!$A$5:$A$204,MATCH($B215&amp;"#13",원장입력!$G$5:$G$204,0)),""))</f>
        <v/>
      </c>
      <c r="B229" s="12">
        <f>IF($B215="","",IFERROR(INDEX(원장입력!$C$5:$C$204,MATCH($B215&amp;"#13",원장입력!$G$5:$G$204,0)),""))</f>
        <v/>
      </c>
      <c r="C229" s="12">
        <f>IF($B215="","",IFERROR(INDEX(원장입력!$D$5:$D$204,MATCH($B215&amp;"#13",원장입력!$G$5:$G$204,0)),""))</f>
        <v/>
      </c>
      <c r="D229" s="14">
        <f>IF($B215="","",IFERROR(INDEX(원장입력!$E$5:$E$204,MATCH($B215&amp;"#13",원장입력!$G$5:$G$204,0)),""))</f>
        <v/>
      </c>
      <c r="E229" s="14">
        <f>IF($B215="","",IFERROR(INDEX(원장입력!$F$5:$F$204,MATCH($B215&amp;"#13",원장입력!$G$5:$G$204,0)),""))</f>
        <v/>
      </c>
    </row>
    <row r="230">
      <c r="A230" s="12">
        <f>IF($B215="","",IFERROR(INDEX(원장입력!$A$5:$A$204,MATCH($B215&amp;"#14",원장입력!$G$5:$G$204,0)),""))</f>
        <v/>
      </c>
      <c r="B230" s="12">
        <f>IF($B215="","",IFERROR(INDEX(원장입력!$C$5:$C$204,MATCH($B215&amp;"#14",원장입력!$G$5:$G$204,0)),""))</f>
        <v/>
      </c>
      <c r="C230" s="12">
        <f>IF($B215="","",IFERROR(INDEX(원장입력!$D$5:$D$204,MATCH($B215&amp;"#14",원장입력!$G$5:$G$204,0)),""))</f>
        <v/>
      </c>
      <c r="D230" s="14">
        <f>IF($B215="","",IFERROR(INDEX(원장입력!$E$5:$E$204,MATCH($B215&amp;"#14",원장입력!$G$5:$G$204,0)),""))</f>
        <v/>
      </c>
      <c r="E230" s="14">
        <f>IF($B215="","",IFERROR(INDEX(원장입력!$F$5:$F$204,MATCH($B215&amp;"#14",원장입력!$G$5:$G$204,0)),""))</f>
        <v/>
      </c>
    </row>
    <row r="231">
      <c r="A231" s="12">
        <f>IF($B215="","",IFERROR(INDEX(원장입력!$A$5:$A$204,MATCH($B215&amp;"#15",원장입력!$G$5:$G$204,0)),""))</f>
        <v/>
      </c>
      <c r="B231" s="12">
        <f>IF($B215="","",IFERROR(INDEX(원장입력!$C$5:$C$204,MATCH($B215&amp;"#15",원장입력!$G$5:$G$204,0)),""))</f>
        <v/>
      </c>
      <c r="C231" s="12">
        <f>IF($B215="","",IFERROR(INDEX(원장입력!$D$5:$D$204,MATCH($B215&amp;"#15",원장입력!$G$5:$G$204,0)),""))</f>
        <v/>
      </c>
      <c r="D231" s="14">
        <f>IF($B215="","",IFERROR(INDEX(원장입력!$E$5:$E$204,MATCH($B215&amp;"#15",원장입력!$G$5:$G$204,0)),""))</f>
        <v/>
      </c>
      <c r="E231" s="14">
        <f>IF($B215="","",IFERROR(INDEX(원장입력!$F$5:$F$204,MATCH($B215&amp;"#15",원장입력!$G$5:$G$204,0)),""))</f>
        <v/>
      </c>
    </row>
    <row r="232">
      <c r="C232" s="17">
        <f>IF($B215="","","원장 합계")</f>
        <v/>
      </c>
      <c r="D232" s="14">
        <f>IF($B215="","",SUMIFS(원장입력!$E$5:$E$204,원장입력!$B$5:$B$204,$B215))</f>
        <v/>
      </c>
      <c r="E232" s="14">
        <f>IF($B215="","",SUMIFS(원장입력!$F$5:$F$204,원장입력!$B$5:$B$204,$B215))</f>
        <v/>
      </c>
    </row>
    <row r="233">
      <c r="C233" s="17">
        <f>IF($B215="","","결산 조정")</f>
        <v/>
      </c>
      <c r="D233" s="14">
        <f>IF($B215="","",SUMIFS(결산조정!$B$5:$B$104,결산조정!$A$5:$A$104,$B215))</f>
        <v/>
      </c>
      <c r="E233" s="14">
        <f>IF($B215="","",SUMIFS(결산조정!$C$5:$C$104,결산조정!$A$5:$A$104,$B215))</f>
        <v/>
      </c>
    </row>
    <row r="234"/>
    <row r="235">
      <c r="A235" s="20">
        <f>IF($B236="","","결산 조정 명세서")</f>
        <v/>
      </c>
      <c r="E235" s="5">
        <f>IF($B236="","","대상 월: 2026-09")</f>
        <v/>
      </c>
    </row>
    <row r="236">
      <c r="A236" s="3">
        <f>IF($B236="","","계정과목:")</f>
        <v/>
      </c>
      <c r="B236" s="3">
        <f>IFERROR(INDEX(결산명세서!$B$5:$B$44,12),"")</f>
        <v/>
      </c>
      <c r="D236" s="3">
        <f>IF($B236="","","당월 잔액:")</f>
        <v/>
      </c>
      <c r="E236" s="21">
        <f>IF($B236="","",INDEX(결산명세서!$G$5:$G$44,12))</f>
        <v/>
      </c>
    </row>
    <row r="237">
      <c r="A237" s="6">
        <f>IF($B236="","","날짜")</f>
        <v/>
      </c>
      <c r="B237" s="6">
        <f>IF($B236="","","거래처")</f>
        <v/>
      </c>
      <c r="C237" s="6">
        <f>IF($B236="","","적요")</f>
        <v/>
      </c>
      <c r="D237" s="6">
        <f>IF($B236="","","차변")</f>
        <v/>
      </c>
      <c r="E237" s="6">
        <f>IF($B236="","","대변")</f>
        <v/>
      </c>
    </row>
    <row r="238">
      <c r="A238" s="12">
        <f>IF($B236="","",IFERROR(INDEX(원장입력!$A$5:$A$204,MATCH($B236&amp;"#1",원장입력!$G$5:$G$204,0)),""))</f>
        <v/>
      </c>
      <c r="B238" s="12">
        <f>IF($B236="","",IFERROR(INDEX(원장입력!$C$5:$C$204,MATCH($B236&amp;"#1",원장입력!$G$5:$G$204,0)),""))</f>
        <v/>
      </c>
      <c r="C238" s="12">
        <f>IF($B236="","",IFERROR(INDEX(원장입력!$D$5:$D$204,MATCH($B236&amp;"#1",원장입력!$G$5:$G$204,0)),""))</f>
        <v/>
      </c>
      <c r="D238" s="14">
        <f>IF($B236="","",IFERROR(INDEX(원장입력!$E$5:$E$204,MATCH($B236&amp;"#1",원장입력!$G$5:$G$204,0)),""))</f>
        <v/>
      </c>
      <c r="E238" s="14">
        <f>IF($B236="","",IFERROR(INDEX(원장입력!$F$5:$F$204,MATCH($B236&amp;"#1",원장입력!$G$5:$G$204,0)),""))</f>
        <v/>
      </c>
    </row>
    <row r="239">
      <c r="A239" s="12">
        <f>IF($B236="","",IFERROR(INDEX(원장입력!$A$5:$A$204,MATCH($B236&amp;"#2",원장입력!$G$5:$G$204,0)),""))</f>
        <v/>
      </c>
      <c r="B239" s="12">
        <f>IF($B236="","",IFERROR(INDEX(원장입력!$C$5:$C$204,MATCH($B236&amp;"#2",원장입력!$G$5:$G$204,0)),""))</f>
        <v/>
      </c>
      <c r="C239" s="12">
        <f>IF($B236="","",IFERROR(INDEX(원장입력!$D$5:$D$204,MATCH($B236&amp;"#2",원장입력!$G$5:$G$204,0)),""))</f>
        <v/>
      </c>
      <c r="D239" s="14">
        <f>IF($B236="","",IFERROR(INDEX(원장입력!$E$5:$E$204,MATCH($B236&amp;"#2",원장입력!$G$5:$G$204,0)),""))</f>
        <v/>
      </c>
      <c r="E239" s="14">
        <f>IF($B236="","",IFERROR(INDEX(원장입력!$F$5:$F$204,MATCH($B236&amp;"#2",원장입력!$G$5:$G$204,0)),""))</f>
        <v/>
      </c>
    </row>
    <row r="240">
      <c r="A240" s="12">
        <f>IF($B236="","",IFERROR(INDEX(원장입력!$A$5:$A$204,MATCH($B236&amp;"#3",원장입력!$G$5:$G$204,0)),""))</f>
        <v/>
      </c>
      <c r="B240" s="12">
        <f>IF($B236="","",IFERROR(INDEX(원장입력!$C$5:$C$204,MATCH($B236&amp;"#3",원장입력!$G$5:$G$204,0)),""))</f>
        <v/>
      </c>
      <c r="C240" s="12">
        <f>IF($B236="","",IFERROR(INDEX(원장입력!$D$5:$D$204,MATCH($B236&amp;"#3",원장입력!$G$5:$G$204,0)),""))</f>
        <v/>
      </c>
      <c r="D240" s="14">
        <f>IF($B236="","",IFERROR(INDEX(원장입력!$E$5:$E$204,MATCH($B236&amp;"#3",원장입력!$G$5:$G$204,0)),""))</f>
        <v/>
      </c>
      <c r="E240" s="14">
        <f>IF($B236="","",IFERROR(INDEX(원장입력!$F$5:$F$204,MATCH($B236&amp;"#3",원장입력!$G$5:$G$204,0)),""))</f>
        <v/>
      </c>
    </row>
    <row r="241">
      <c r="A241" s="12">
        <f>IF($B236="","",IFERROR(INDEX(원장입력!$A$5:$A$204,MATCH($B236&amp;"#4",원장입력!$G$5:$G$204,0)),""))</f>
        <v/>
      </c>
      <c r="B241" s="12">
        <f>IF($B236="","",IFERROR(INDEX(원장입력!$C$5:$C$204,MATCH($B236&amp;"#4",원장입력!$G$5:$G$204,0)),""))</f>
        <v/>
      </c>
      <c r="C241" s="12">
        <f>IF($B236="","",IFERROR(INDEX(원장입력!$D$5:$D$204,MATCH($B236&amp;"#4",원장입력!$G$5:$G$204,0)),""))</f>
        <v/>
      </c>
      <c r="D241" s="14">
        <f>IF($B236="","",IFERROR(INDEX(원장입력!$E$5:$E$204,MATCH($B236&amp;"#4",원장입력!$G$5:$G$204,0)),""))</f>
        <v/>
      </c>
      <c r="E241" s="14">
        <f>IF($B236="","",IFERROR(INDEX(원장입력!$F$5:$F$204,MATCH($B236&amp;"#4",원장입력!$G$5:$G$204,0)),""))</f>
        <v/>
      </c>
    </row>
    <row r="242">
      <c r="A242" s="12">
        <f>IF($B236="","",IFERROR(INDEX(원장입력!$A$5:$A$204,MATCH($B236&amp;"#5",원장입력!$G$5:$G$204,0)),""))</f>
        <v/>
      </c>
      <c r="B242" s="12">
        <f>IF($B236="","",IFERROR(INDEX(원장입력!$C$5:$C$204,MATCH($B236&amp;"#5",원장입력!$G$5:$G$204,0)),""))</f>
        <v/>
      </c>
      <c r="C242" s="12">
        <f>IF($B236="","",IFERROR(INDEX(원장입력!$D$5:$D$204,MATCH($B236&amp;"#5",원장입력!$G$5:$G$204,0)),""))</f>
        <v/>
      </c>
      <c r="D242" s="14">
        <f>IF($B236="","",IFERROR(INDEX(원장입력!$E$5:$E$204,MATCH($B236&amp;"#5",원장입력!$G$5:$G$204,0)),""))</f>
        <v/>
      </c>
      <c r="E242" s="14">
        <f>IF($B236="","",IFERROR(INDEX(원장입력!$F$5:$F$204,MATCH($B236&amp;"#5",원장입력!$G$5:$G$204,0)),""))</f>
        <v/>
      </c>
    </row>
    <row r="243">
      <c r="A243" s="12">
        <f>IF($B236="","",IFERROR(INDEX(원장입력!$A$5:$A$204,MATCH($B236&amp;"#6",원장입력!$G$5:$G$204,0)),""))</f>
        <v/>
      </c>
      <c r="B243" s="12">
        <f>IF($B236="","",IFERROR(INDEX(원장입력!$C$5:$C$204,MATCH($B236&amp;"#6",원장입력!$G$5:$G$204,0)),""))</f>
        <v/>
      </c>
      <c r="C243" s="12">
        <f>IF($B236="","",IFERROR(INDEX(원장입력!$D$5:$D$204,MATCH($B236&amp;"#6",원장입력!$G$5:$G$204,0)),""))</f>
        <v/>
      </c>
      <c r="D243" s="14">
        <f>IF($B236="","",IFERROR(INDEX(원장입력!$E$5:$E$204,MATCH($B236&amp;"#6",원장입력!$G$5:$G$204,0)),""))</f>
        <v/>
      </c>
      <c r="E243" s="14">
        <f>IF($B236="","",IFERROR(INDEX(원장입력!$F$5:$F$204,MATCH($B236&amp;"#6",원장입력!$G$5:$G$204,0)),""))</f>
        <v/>
      </c>
    </row>
    <row r="244">
      <c r="A244" s="12">
        <f>IF($B236="","",IFERROR(INDEX(원장입력!$A$5:$A$204,MATCH($B236&amp;"#7",원장입력!$G$5:$G$204,0)),""))</f>
        <v/>
      </c>
      <c r="B244" s="12">
        <f>IF($B236="","",IFERROR(INDEX(원장입력!$C$5:$C$204,MATCH($B236&amp;"#7",원장입력!$G$5:$G$204,0)),""))</f>
        <v/>
      </c>
      <c r="C244" s="12">
        <f>IF($B236="","",IFERROR(INDEX(원장입력!$D$5:$D$204,MATCH($B236&amp;"#7",원장입력!$G$5:$G$204,0)),""))</f>
        <v/>
      </c>
      <c r="D244" s="14">
        <f>IF($B236="","",IFERROR(INDEX(원장입력!$E$5:$E$204,MATCH($B236&amp;"#7",원장입력!$G$5:$G$204,0)),""))</f>
        <v/>
      </c>
      <c r="E244" s="14">
        <f>IF($B236="","",IFERROR(INDEX(원장입력!$F$5:$F$204,MATCH($B236&amp;"#7",원장입력!$G$5:$G$204,0)),""))</f>
        <v/>
      </c>
    </row>
    <row r="245">
      <c r="A245" s="12">
        <f>IF($B236="","",IFERROR(INDEX(원장입력!$A$5:$A$204,MATCH($B236&amp;"#8",원장입력!$G$5:$G$204,0)),""))</f>
        <v/>
      </c>
      <c r="B245" s="12">
        <f>IF($B236="","",IFERROR(INDEX(원장입력!$C$5:$C$204,MATCH($B236&amp;"#8",원장입력!$G$5:$G$204,0)),""))</f>
        <v/>
      </c>
      <c r="C245" s="12">
        <f>IF($B236="","",IFERROR(INDEX(원장입력!$D$5:$D$204,MATCH($B236&amp;"#8",원장입력!$G$5:$G$204,0)),""))</f>
        <v/>
      </c>
      <c r="D245" s="14">
        <f>IF($B236="","",IFERROR(INDEX(원장입력!$E$5:$E$204,MATCH($B236&amp;"#8",원장입력!$G$5:$G$204,0)),""))</f>
        <v/>
      </c>
      <c r="E245" s="14">
        <f>IF($B236="","",IFERROR(INDEX(원장입력!$F$5:$F$204,MATCH($B236&amp;"#8",원장입력!$G$5:$G$204,0)),""))</f>
        <v/>
      </c>
    </row>
    <row r="246">
      <c r="A246" s="12">
        <f>IF($B236="","",IFERROR(INDEX(원장입력!$A$5:$A$204,MATCH($B236&amp;"#9",원장입력!$G$5:$G$204,0)),""))</f>
        <v/>
      </c>
      <c r="B246" s="12">
        <f>IF($B236="","",IFERROR(INDEX(원장입력!$C$5:$C$204,MATCH($B236&amp;"#9",원장입력!$G$5:$G$204,0)),""))</f>
        <v/>
      </c>
      <c r="C246" s="12">
        <f>IF($B236="","",IFERROR(INDEX(원장입력!$D$5:$D$204,MATCH($B236&amp;"#9",원장입력!$G$5:$G$204,0)),""))</f>
        <v/>
      </c>
      <c r="D246" s="14">
        <f>IF($B236="","",IFERROR(INDEX(원장입력!$E$5:$E$204,MATCH($B236&amp;"#9",원장입력!$G$5:$G$204,0)),""))</f>
        <v/>
      </c>
      <c r="E246" s="14">
        <f>IF($B236="","",IFERROR(INDEX(원장입력!$F$5:$F$204,MATCH($B236&amp;"#9",원장입력!$G$5:$G$204,0)),""))</f>
        <v/>
      </c>
    </row>
    <row r="247">
      <c r="A247" s="12">
        <f>IF($B236="","",IFERROR(INDEX(원장입력!$A$5:$A$204,MATCH($B236&amp;"#10",원장입력!$G$5:$G$204,0)),""))</f>
        <v/>
      </c>
      <c r="B247" s="12">
        <f>IF($B236="","",IFERROR(INDEX(원장입력!$C$5:$C$204,MATCH($B236&amp;"#10",원장입력!$G$5:$G$204,0)),""))</f>
        <v/>
      </c>
      <c r="C247" s="12">
        <f>IF($B236="","",IFERROR(INDEX(원장입력!$D$5:$D$204,MATCH($B236&amp;"#10",원장입력!$G$5:$G$204,0)),""))</f>
        <v/>
      </c>
      <c r="D247" s="14">
        <f>IF($B236="","",IFERROR(INDEX(원장입력!$E$5:$E$204,MATCH($B236&amp;"#10",원장입력!$G$5:$G$204,0)),""))</f>
        <v/>
      </c>
      <c r="E247" s="14">
        <f>IF($B236="","",IFERROR(INDEX(원장입력!$F$5:$F$204,MATCH($B236&amp;"#10",원장입력!$G$5:$G$204,0)),""))</f>
        <v/>
      </c>
    </row>
    <row r="248">
      <c r="A248" s="12">
        <f>IF($B236="","",IFERROR(INDEX(원장입력!$A$5:$A$204,MATCH($B236&amp;"#11",원장입력!$G$5:$G$204,0)),""))</f>
        <v/>
      </c>
      <c r="B248" s="12">
        <f>IF($B236="","",IFERROR(INDEX(원장입력!$C$5:$C$204,MATCH($B236&amp;"#11",원장입력!$G$5:$G$204,0)),""))</f>
        <v/>
      </c>
      <c r="C248" s="12">
        <f>IF($B236="","",IFERROR(INDEX(원장입력!$D$5:$D$204,MATCH($B236&amp;"#11",원장입력!$G$5:$G$204,0)),""))</f>
        <v/>
      </c>
      <c r="D248" s="14">
        <f>IF($B236="","",IFERROR(INDEX(원장입력!$E$5:$E$204,MATCH($B236&amp;"#11",원장입력!$G$5:$G$204,0)),""))</f>
        <v/>
      </c>
      <c r="E248" s="14">
        <f>IF($B236="","",IFERROR(INDEX(원장입력!$F$5:$F$204,MATCH($B236&amp;"#11",원장입력!$G$5:$G$204,0)),""))</f>
        <v/>
      </c>
    </row>
    <row r="249">
      <c r="A249" s="12">
        <f>IF($B236="","",IFERROR(INDEX(원장입력!$A$5:$A$204,MATCH($B236&amp;"#12",원장입력!$G$5:$G$204,0)),""))</f>
        <v/>
      </c>
      <c r="B249" s="12">
        <f>IF($B236="","",IFERROR(INDEX(원장입력!$C$5:$C$204,MATCH($B236&amp;"#12",원장입력!$G$5:$G$204,0)),""))</f>
        <v/>
      </c>
      <c r="C249" s="12">
        <f>IF($B236="","",IFERROR(INDEX(원장입력!$D$5:$D$204,MATCH($B236&amp;"#12",원장입력!$G$5:$G$204,0)),""))</f>
        <v/>
      </c>
      <c r="D249" s="14">
        <f>IF($B236="","",IFERROR(INDEX(원장입력!$E$5:$E$204,MATCH($B236&amp;"#12",원장입력!$G$5:$G$204,0)),""))</f>
        <v/>
      </c>
      <c r="E249" s="14">
        <f>IF($B236="","",IFERROR(INDEX(원장입력!$F$5:$F$204,MATCH($B236&amp;"#12",원장입력!$G$5:$G$204,0)),""))</f>
        <v/>
      </c>
    </row>
    <row r="250">
      <c r="A250" s="12">
        <f>IF($B236="","",IFERROR(INDEX(원장입력!$A$5:$A$204,MATCH($B236&amp;"#13",원장입력!$G$5:$G$204,0)),""))</f>
        <v/>
      </c>
      <c r="B250" s="12">
        <f>IF($B236="","",IFERROR(INDEX(원장입력!$C$5:$C$204,MATCH($B236&amp;"#13",원장입력!$G$5:$G$204,0)),""))</f>
        <v/>
      </c>
      <c r="C250" s="12">
        <f>IF($B236="","",IFERROR(INDEX(원장입력!$D$5:$D$204,MATCH($B236&amp;"#13",원장입력!$G$5:$G$204,0)),""))</f>
        <v/>
      </c>
      <c r="D250" s="14">
        <f>IF($B236="","",IFERROR(INDEX(원장입력!$E$5:$E$204,MATCH($B236&amp;"#13",원장입력!$G$5:$G$204,0)),""))</f>
        <v/>
      </c>
      <c r="E250" s="14">
        <f>IF($B236="","",IFERROR(INDEX(원장입력!$F$5:$F$204,MATCH($B236&amp;"#13",원장입력!$G$5:$G$204,0)),""))</f>
        <v/>
      </c>
    </row>
    <row r="251">
      <c r="A251" s="12">
        <f>IF($B236="","",IFERROR(INDEX(원장입력!$A$5:$A$204,MATCH($B236&amp;"#14",원장입력!$G$5:$G$204,0)),""))</f>
        <v/>
      </c>
      <c r="B251" s="12">
        <f>IF($B236="","",IFERROR(INDEX(원장입력!$C$5:$C$204,MATCH($B236&amp;"#14",원장입력!$G$5:$G$204,0)),""))</f>
        <v/>
      </c>
      <c r="C251" s="12">
        <f>IF($B236="","",IFERROR(INDEX(원장입력!$D$5:$D$204,MATCH($B236&amp;"#14",원장입력!$G$5:$G$204,0)),""))</f>
        <v/>
      </c>
      <c r="D251" s="14">
        <f>IF($B236="","",IFERROR(INDEX(원장입력!$E$5:$E$204,MATCH($B236&amp;"#14",원장입력!$G$5:$G$204,0)),""))</f>
        <v/>
      </c>
      <c r="E251" s="14">
        <f>IF($B236="","",IFERROR(INDEX(원장입력!$F$5:$F$204,MATCH($B236&amp;"#14",원장입력!$G$5:$G$204,0)),""))</f>
        <v/>
      </c>
    </row>
    <row r="252">
      <c r="A252" s="12">
        <f>IF($B236="","",IFERROR(INDEX(원장입력!$A$5:$A$204,MATCH($B236&amp;"#15",원장입력!$G$5:$G$204,0)),""))</f>
        <v/>
      </c>
      <c r="B252" s="12">
        <f>IF($B236="","",IFERROR(INDEX(원장입력!$C$5:$C$204,MATCH($B236&amp;"#15",원장입력!$G$5:$G$204,0)),""))</f>
        <v/>
      </c>
      <c r="C252" s="12">
        <f>IF($B236="","",IFERROR(INDEX(원장입력!$D$5:$D$204,MATCH($B236&amp;"#15",원장입력!$G$5:$G$204,0)),""))</f>
        <v/>
      </c>
      <c r="D252" s="14">
        <f>IF($B236="","",IFERROR(INDEX(원장입력!$E$5:$E$204,MATCH($B236&amp;"#15",원장입력!$G$5:$G$204,0)),""))</f>
        <v/>
      </c>
      <c r="E252" s="14">
        <f>IF($B236="","",IFERROR(INDEX(원장입력!$F$5:$F$204,MATCH($B236&amp;"#15",원장입력!$G$5:$G$204,0)),""))</f>
        <v/>
      </c>
    </row>
    <row r="253">
      <c r="C253" s="17">
        <f>IF($B236="","","원장 합계")</f>
        <v/>
      </c>
      <c r="D253" s="14">
        <f>IF($B236="","",SUMIFS(원장입력!$E$5:$E$204,원장입력!$B$5:$B$204,$B236))</f>
        <v/>
      </c>
      <c r="E253" s="14">
        <f>IF($B236="","",SUMIFS(원장입력!$F$5:$F$204,원장입력!$B$5:$B$204,$B236))</f>
        <v/>
      </c>
    </row>
    <row r="254">
      <c r="C254" s="17">
        <f>IF($B236="","","결산 조정")</f>
        <v/>
      </c>
      <c r="D254" s="14">
        <f>IF($B236="","",SUMIFS(결산조정!$B$5:$B$104,결산조정!$A$5:$A$104,$B236))</f>
        <v/>
      </c>
      <c r="E254" s="14">
        <f>IF($B236="","",SUMIFS(결산조정!$C$5:$C$104,결산조정!$A$5:$A$104,$B236))</f>
        <v/>
      </c>
    </row>
    <row r="255"/>
    <row r="256">
      <c r="A256" s="20">
        <f>IF($B257="","","결산 조정 명세서")</f>
        <v/>
      </c>
      <c r="E256" s="5">
        <f>IF($B257="","","대상 월: 2026-09")</f>
        <v/>
      </c>
    </row>
    <row r="257">
      <c r="A257" s="3">
        <f>IF($B257="","","계정과목:")</f>
        <v/>
      </c>
      <c r="B257" s="3">
        <f>IFERROR(INDEX(결산명세서!$B$5:$B$44,13),"")</f>
        <v/>
      </c>
      <c r="D257" s="3">
        <f>IF($B257="","","당월 잔액:")</f>
        <v/>
      </c>
      <c r="E257" s="21">
        <f>IF($B257="","",INDEX(결산명세서!$G$5:$G$44,13))</f>
        <v/>
      </c>
    </row>
    <row r="258">
      <c r="A258" s="6">
        <f>IF($B257="","","날짜")</f>
        <v/>
      </c>
      <c r="B258" s="6">
        <f>IF($B257="","","거래처")</f>
        <v/>
      </c>
      <c r="C258" s="6">
        <f>IF($B257="","","적요")</f>
        <v/>
      </c>
      <c r="D258" s="6">
        <f>IF($B257="","","차변")</f>
        <v/>
      </c>
      <c r="E258" s="6">
        <f>IF($B257="","","대변")</f>
        <v/>
      </c>
    </row>
    <row r="259">
      <c r="A259" s="12">
        <f>IF($B257="","",IFERROR(INDEX(원장입력!$A$5:$A$204,MATCH($B257&amp;"#1",원장입력!$G$5:$G$204,0)),""))</f>
        <v/>
      </c>
      <c r="B259" s="12">
        <f>IF($B257="","",IFERROR(INDEX(원장입력!$C$5:$C$204,MATCH($B257&amp;"#1",원장입력!$G$5:$G$204,0)),""))</f>
        <v/>
      </c>
      <c r="C259" s="12">
        <f>IF($B257="","",IFERROR(INDEX(원장입력!$D$5:$D$204,MATCH($B257&amp;"#1",원장입력!$G$5:$G$204,0)),""))</f>
        <v/>
      </c>
      <c r="D259" s="14">
        <f>IF($B257="","",IFERROR(INDEX(원장입력!$E$5:$E$204,MATCH($B257&amp;"#1",원장입력!$G$5:$G$204,0)),""))</f>
        <v/>
      </c>
      <c r="E259" s="14">
        <f>IF($B257="","",IFERROR(INDEX(원장입력!$F$5:$F$204,MATCH($B257&amp;"#1",원장입력!$G$5:$G$204,0)),""))</f>
        <v/>
      </c>
    </row>
    <row r="260">
      <c r="A260" s="12">
        <f>IF($B257="","",IFERROR(INDEX(원장입력!$A$5:$A$204,MATCH($B257&amp;"#2",원장입력!$G$5:$G$204,0)),""))</f>
        <v/>
      </c>
      <c r="B260" s="12">
        <f>IF($B257="","",IFERROR(INDEX(원장입력!$C$5:$C$204,MATCH($B257&amp;"#2",원장입력!$G$5:$G$204,0)),""))</f>
        <v/>
      </c>
      <c r="C260" s="12">
        <f>IF($B257="","",IFERROR(INDEX(원장입력!$D$5:$D$204,MATCH($B257&amp;"#2",원장입력!$G$5:$G$204,0)),""))</f>
        <v/>
      </c>
      <c r="D260" s="14">
        <f>IF($B257="","",IFERROR(INDEX(원장입력!$E$5:$E$204,MATCH($B257&amp;"#2",원장입력!$G$5:$G$204,0)),""))</f>
        <v/>
      </c>
      <c r="E260" s="14">
        <f>IF($B257="","",IFERROR(INDEX(원장입력!$F$5:$F$204,MATCH($B257&amp;"#2",원장입력!$G$5:$G$204,0)),""))</f>
        <v/>
      </c>
    </row>
    <row r="261">
      <c r="A261" s="12">
        <f>IF($B257="","",IFERROR(INDEX(원장입력!$A$5:$A$204,MATCH($B257&amp;"#3",원장입력!$G$5:$G$204,0)),""))</f>
        <v/>
      </c>
      <c r="B261" s="12">
        <f>IF($B257="","",IFERROR(INDEX(원장입력!$C$5:$C$204,MATCH($B257&amp;"#3",원장입력!$G$5:$G$204,0)),""))</f>
        <v/>
      </c>
      <c r="C261" s="12">
        <f>IF($B257="","",IFERROR(INDEX(원장입력!$D$5:$D$204,MATCH($B257&amp;"#3",원장입력!$G$5:$G$204,0)),""))</f>
        <v/>
      </c>
      <c r="D261" s="14">
        <f>IF($B257="","",IFERROR(INDEX(원장입력!$E$5:$E$204,MATCH($B257&amp;"#3",원장입력!$G$5:$G$204,0)),""))</f>
        <v/>
      </c>
      <c r="E261" s="14">
        <f>IF($B257="","",IFERROR(INDEX(원장입력!$F$5:$F$204,MATCH($B257&amp;"#3",원장입력!$G$5:$G$204,0)),""))</f>
        <v/>
      </c>
    </row>
    <row r="262">
      <c r="A262" s="12">
        <f>IF($B257="","",IFERROR(INDEX(원장입력!$A$5:$A$204,MATCH($B257&amp;"#4",원장입력!$G$5:$G$204,0)),""))</f>
        <v/>
      </c>
      <c r="B262" s="12">
        <f>IF($B257="","",IFERROR(INDEX(원장입력!$C$5:$C$204,MATCH($B257&amp;"#4",원장입력!$G$5:$G$204,0)),""))</f>
        <v/>
      </c>
      <c r="C262" s="12">
        <f>IF($B257="","",IFERROR(INDEX(원장입력!$D$5:$D$204,MATCH($B257&amp;"#4",원장입력!$G$5:$G$204,0)),""))</f>
        <v/>
      </c>
      <c r="D262" s="14">
        <f>IF($B257="","",IFERROR(INDEX(원장입력!$E$5:$E$204,MATCH($B257&amp;"#4",원장입력!$G$5:$G$204,0)),""))</f>
        <v/>
      </c>
      <c r="E262" s="14">
        <f>IF($B257="","",IFERROR(INDEX(원장입력!$F$5:$F$204,MATCH($B257&amp;"#4",원장입력!$G$5:$G$204,0)),""))</f>
        <v/>
      </c>
    </row>
    <row r="263">
      <c r="A263" s="12">
        <f>IF($B257="","",IFERROR(INDEX(원장입력!$A$5:$A$204,MATCH($B257&amp;"#5",원장입력!$G$5:$G$204,0)),""))</f>
        <v/>
      </c>
      <c r="B263" s="12">
        <f>IF($B257="","",IFERROR(INDEX(원장입력!$C$5:$C$204,MATCH($B257&amp;"#5",원장입력!$G$5:$G$204,0)),""))</f>
        <v/>
      </c>
      <c r="C263" s="12">
        <f>IF($B257="","",IFERROR(INDEX(원장입력!$D$5:$D$204,MATCH($B257&amp;"#5",원장입력!$G$5:$G$204,0)),""))</f>
        <v/>
      </c>
      <c r="D263" s="14">
        <f>IF($B257="","",IFERROR(INDEX(원장입력!$E$5:$E$204,MATCH($B257&amp;"#5",원장입력!$G$5:$G$204,0)),""))</f>
        <v/>
      </c>
      <c r="E263" s="14">
        <f>IF($B257="","",IFERROR(INDEX(원장입력!$F$5:$F$204,MATCH($B257&amp;"#5",원장입력!$G$5:$G$204,0)),""))</f>
        <v/>
      </c>
    </row>
    <row r="264">
      <c r="A264" s="12">
        <f>IF($B257="","",IFERROR(INDEX(원장입력!$A$5:$A$204,MATCH($B257&amp;"#6",원장입력!$G$5:$G$204,0)),""))</f>
        <v/>
      </c>
      <c r="B264" s="12">
        <f>IF($B257="","",IFERROR(INDEX(원장입력!$C$5:$C$204,MATCH($B257&amp;"#6",원장입력!$G$5:$G$204,0)),""))</f>
        <v/>
      </c>
      <c r="C264" s="12">
        <f>IF($B257="","",IFERROR(INDEX(원장입력!$D$5:$D$204,MATCH($B257&amp;"#6",원장입력!$G$5:$G$204,0)),""))</f>
        <v/>
      </c>
      <c r="D264" s="14">
        <f>IF($B257="","",IFERROR(INDEX(원장입력!$E$5:$E$204,MATCH($B257&amp;"#6",원장입력!$G$5:$G$204,0)),""))</f>
        <v/>
      </c>
      <c r="E264" s="14">
        <f>IF($B257="","",IFERROR(INDEX(원장입력!$F$5:$F$204,MATCH($B257&amp;"#6",원장입력!$G$5:$G$204,0)),""))</f>
        <v/>
      </c>
    </row>
    <row r="265">
      <c r="A265" s="12">
        <f>IF($B257="","",IFERROR(INDEX(원장입력!$A$5:$A$204,MATCH($B257&amp;"#7",원장입력!$G$5:$G$204,0)),""))</f>
        <v/>
      </c>
      <c r="B265" s="12">
        <f>IF($B257="","",IFERROR(INDEX(원장입력!$C$5:$C$204,MATCH($B257&amp;"#7",원장입력!$G$5:$G$204,0)),""))</f>
        <v/>
      </c>
      <c r="C265" s="12">
        <f>IF($B257="","",IFERROR(INDEX(원장입력!$D$5:$D$204,MATCH($B257&amp;"#7",원장입력!$G$5:$G$204,0)),""))</f>
        <v/>
      </c>
      <c r="D265" s="14">
        <f>IF($B257="","",IFERROR(INDEX(원장입력!$E$5:$E$204,MATCH($B257&amp;"#7",원장입력!$G$5:$G$204,0)),""))</f>
        <v/>
      </c>
      <c r="E265" s="14">
        <f>IF($B257="","",IFERROR(INDEX(원장입력!$F$5:$F$204,MATCH($B257&amp;"#7",원장입력!$G$5:$G$204,0)),""))</f>
        <v/>
      </c>
    </row>
    <row r="266">
      <c r="A266" s="12">
        <f>IF($B257="","",IFERROR(INDEX(원장입력!$A$5:$A$204,MATCH($B257&amp;"#8",원장입력!$G$5:$G$204,0)),""))</f>
        <v/>
      </c>
      <c r="B266" s="12">
        <f>IF($B257="","",IFERROR(INDEX(원장입력!$C$5:$C$204,MATCH($B257&amp;"#8",원장입력!$G$5:$G$204,0)),""))</f>
        <v/>
      </c>
      <c r="C266" s="12">
        <f>IF($B257="","",IFERROR(INDEX(원장입력!$D$5:$D$204,MATCH($B257&amp;"#8",원장입력!$G$5:$G$204,0)),""))</f>
        <v/>
      </c>
      <c r="D266" s="14">
        <f>IF($B257="","",IFERROR(INDEX(원장입력!$E$5:$E$204,MATCH($B257&amp;"#8",원장입력!$G$5:$G$204,0)),""))</f>
        <v/>
      </c>
      <c r="E266" s="14">
        <f>IF($B257="","",IFERROR(INDEX(원장입력!$F$5:$F$204,MATCH($B257&amp;"#8",원장입력!$G$5:$G$204,0)),""))</f>
        <v/>
      </c>
    </row>
    <row r="267">
      <c r="A267" s="12">
        <f>IF($B257="","",IFERROR(INDEX(원장입력!$A$5:$A$204,MATCH($B257&amp;"#9",원장입력!$G$5:$G$204,0)),""))</f>
        <v/>
      </c>
      <c r="B267" s="12">
        <f>IF($B257="","",IFERROR(INDEX(원장입력!$C$5:$C$204,MATCH($B257&amp;"#9",원장입력!$G$5:$G$204,0)),""))</f>
        <v/>
      </c>
      <c r="C267" s="12">
        <f>IF($B257="","",IFERROR(INDEX(원장입력!$D$5:$D$204,MATCH($B257&amp;"#9",원장입력!$G$5:$G$204,0)),""))</f>
        <v/>
      </c>
      <c r="D267" s="14">
        <f>IF($B257="","",IFERROR(INDEX(원장입력!$E$5:$E$204,MATCH($B257&amp;"#9",원장입력!$G$5:$G$204,0)),""))</f>
        <v/>
      </c>
      <c r="E267" s="14">
        <f>IF($B257="","",IFERROR(INDEX(원장입력!$F$5:$F$204,MATCH($B257&amp;"#9",원장입력!$G$5:$G$204,0)),""))</f>
        <v/>
      </c>
    </row>
    <row r="268">
      <c r="A268" s="12">
        <f>IF($B257="","",IFERROR(INDEX(원장입력!$A$5:$A$204,MATCH($B257&amp;"#10",원장입력!$G$5:$G$204,0)),""))</f>
        <v/>
      </c>
      <c r="B268" s="12">
        <f>IF($B257="","",IFERROR(INDEX(원장입력!$C$5:$C$204,MATCH($B257&amp;"#10",원장입력!$G$5:$G$204,0)),""))</f>
        <v/>
      </c>
      <c r="C268" s="12">
        <f>IF($B257="","",IFERROR(INDEX(원장입력!$D$5:$D$204,MATCH($B257&amp;"#10",원장입력!$G$5:$G$204,0)),""))</f>
        <v/>
      </c>
      <c r="D268" s="14">
        <f>IF($B257="","",IFERROR(INDEX(원장입력!$E$5:$E$204,MATCH($B257&amp;"#10",원장입력!$G$5:$G$204,0)),""))</f>
        <v/>
      </c>
      <c r="E268" s="14">
        <f>IF($B257="","",IFERROR(INDEX(원장입력!$F$5:$F$204,MATCH($B257&amp;"#10",원장입력!$G$5:$G$204,0)),""))</f>
        <v/>
      </c>
    </row>
    <row r="269">
      <c r="A269" s="12">
        <f>IF($B257="","",IFERROR(INDEX(원장입력!$A$5:$A$204,MATCH($B257&amp;"#11",원장입력!$G$5:$G$204,0)),""))</f>
        <v/>
      </c>
      <c r="B269" s="12">
        <f>IF($B257="","",IFERROR(INDEX(원장입력!$C$5:$C$204,MATCH($B257&amp;"#11",원장입력!$G$5:$G$204,0)),""))</f>
        <v/>
      </c>
      <c r="C269" s="12">
        <f>IF($B257="","",IFERROR(INDEX(원장입력!$D$5:$D$204,MATCH($B257&amp;"#11",원장입력!$G$5:$G$204,0)),""))</f>
        <v/>
      </c>
      <c r="D269" s="14">
        <f>IF($B257="","",IFERROR(INDEX(원장입력!$E$5:$E$204,MATCH($B257&amp;"#11",원장입력!$G$5:$G$204,0)),""))</f>
        <v/>
      </c>
      <c r="E269" s="14">
        <f>IF($B257="","",IFERROR(INDEX(원장입력!$F$5:$F$204,MATCH($B257&amp;"#11",원장입력!$G$5:$G$204,0)),""))</f>
        <v/>
      </c>
    </row>
    <row r="270">
      <c r="A270" s="12">
        <f>IF($B257="","",IFERROR(INDEX(원장입력!$A$5:$A$204,MATCH($B257&amp;"#12",원장입력!$G$5:$G$204,0)),""))</f>
        <v/>
      </c>
      <c r="B270" s="12">
        <f>IF($B257="","",IFERROR(INDEX(원장입력!$C$5:$C$204,MATCH($B257&amp;"#12",원장입력!$G$5:$G$204,0)),""))</f>
        <v/>
      </c>
      <c r="C270" s="12">
        <f>IF($B257="","",IFERROR(INDEX(원장입력!$D$5:$D$204,MATCH($B257&amp;"#12",원장입력!$G$5:$G$204,0)),""))</f>
        <v/>
      </c>
      <c r="D270" s="14">
        <f>IF($B257="","",IFERROR(INDEX(원장입력!$E$5:$E$204,MATCH($B257&amp;"#12",원장입력!$G$5:$G$204,0)),""))</f>
        <v/>
      </c>
      <c r="E270" s="14">
        <f>IF($B257="","",IFERROR(INDEX(원장입력!$F$5:$F$204,MATCH($B257&amp;"#12",원장입력!$G$5:$G$204,0)),""))</f>
        <v/>
      </c>
    </row>
    <row r="271">
      <c r="A271" s="12">
        <f>IF($B257="","",IFERROR(INDEX(원장입력!$A$5:$A$204,MATCH($B257&amp;"#13",원장입력!$G$5:$G$204,0)),""))</f>
        <v/>
      </c>
      <c r="B271" s="12">
        <f>IF($B257="","",IFERROR(INDEX(원장입력!$C$5:$C$204,MATCH($B257&amp;"#13",원장입력!$G$5:$G$204,0)),""))</f>
        <v/>
      </c>
      <c r="C271" s="12">
        <f>IF($B257="","",IFERROR(INDEX(원장입력!$D$5:$D$204,MATCH($B257&amp;"#13",원장입력!$G$5:$G$204,0)),""))</f>
        <v/>
      </c>
      <c r="D271" s="14">
        <f>IF($B257="","",IFERROR(INDEX(원장입력!$E$5:$E$204,MATCH($B257&amp;"#13",원장입력!$G$5:$G$204,0)),""))</f>
        <v/>
      </c>
      <c r="E271" s="14">
        <f>IF($B257="","",IFERROR(INDEX(원장입력!$F$5:$F$204,MATCH($B257&amp;"#13",원장입력!$G$5:$G$204,0)),""))</f>
        <v/>
      </c>
    </row>
    <row r="272">
      <c r="A272" s="12">
        <f>IF($B257="","",IFERROR(INDEX(원장입력!$A$5:$A$204,MATCH($B257&amp;"#14",원장입력!$G$5:$G$204,0)),""))</f>
        <v/>
      </c>
      <c r="B272" s="12">
        <f>IF($B257="","",IFERROR(INDEX(원장입력!$C$5:$C$204,MATCH($B257&amp;"#14",원장입력!$G$5:$G$204,0)),""))</f>
        <v/>
      </c>
      <c r="C272" s="12">
        <f>IF($B257="","",IFERROR(INDEX(원장입력!$D$5:$D$204,MATCH($B257&amp;"#14",원장입력!$G$5:$G$204,0)),""))</f>
        <v/>
      </c>
      <c r="D272" s="14">
        <f>IF($B257="","",IFERROR(INDEX(원장입력!$E$5:$E$204,MATCH($B257&amp;"#14",원장입력!$G$5:$G$204,0)),""))</f>
        <v/>
      </c>
      <c r="E272" s="14">
        <f>IF($B257="","",IFERROR(INDEX(원장입력!$F$5:$F$204,MATCH($B257&amp;"#14",원장입력!$G$5:$G$204,0)),""))</f>
        <v/>
      </c>
    </row>
    <row r="273">
      <c r="A273" s="12">
        <f>IF($B257="","",IFERROR(INDEX(원장입력!$A$5:$A$204,MATCH($B257&amp;"#15",원장입력!$G$5:$G$204,0)),""))</f>
        <v/>
      </c>
      <c r="B273" s="12">
        <f>IF($B257="","",IFERROR(INDEX(원장입력!$C$5:$C$204,MATCH($B257&amp;"#15",원장입력!$G$5:$G$204,0)),""))</f>
        <v/>
      </c>
      <c r="C273" s="12">
        <f>IF($B257="","",IFERROR(INDEX(원장입력!$D$5:$D$204,MATCH($B257&amp;"#15",원장입력!$G$5:$G$204,0)),""))</f>
        <v/>
      </c>
      <c r="D273" s="14">
        <f>IF($B257="","",IFERROR(INDEX(원장입력!$E$5:$E$204,MATCH($B257&amp;"#15",원장입력!$G$5:$G$204,0)),""))</f>
        <v/>
      </c>
      <c r="E273" s="14">
        <f>IF($B257="","",IFERROR(INDEX(원장입력!$F$5:$F$204,MATCH($B257&amp;"#15",원장입력!$G$5:$G$204,0)),""))</f>
        <v/>
      </c>
    </row>
    <row r="274">
      <c r="C274" s="17">
        <f>IF($B257="","","원장 합계")</f>
        <v/>
      </c>
      <c r="D274" s="14">
        <f>IF($B257="","",SUMIFS(원장입력!$E$5:$E$204,원장입력!$B$5:$B$204,$B257))</f>
        <v/>
      </c>
      <c r="E274" s="14">
        <f>IF($B257="","",SUMIFS(원장입력!$F$5:$F$204,원장입력!$B$5:$B$204,$B257))</f>
        <v/>
      </c>
    </row>
    <row r="275">
      <c r="C275" s="17">
        <f>IF($B257="","","결산 조정")</f>
        <v/>
      </c>
      <c r="D275" s="14">
        <f>IF($B257="","",SUMIFS(결산조정!$B$5:$B$104,결산조정!$A$5:$A$104,$B257))</f>
        <v/>
      </c>
      <c r="E275" s="14">
        <f>IF($B257="","",SUMIFS(결산조정!$C$5:$C$104,결산조정!$A$5:$A$104,$B257))</f>
        <v/>
      </c>
    </row>
    <row r="276"/>
    <row r="277">
      <c r="A277" s="20">
        <f>IF($B278="","","결산 조정 명세서")</f>
        <v/>
      </c>
      <c r="E277" s="5">
        <f>IF($B278="","","대상 월: 2026-09")</f>
        <v/>
      </c>
    </row>
    <row r="278">
      <c r="A278" s="3">
        <f>IF($B278="","","계정과목:")</f>
        <v/>
      </c>
      <c r="B278" s="3">
        <f>IFERROR(INDEX(결산명세서!$B$5:$B$44,14),"")</f>
        <v/>
      </c>
      <c r="D278" s="3">
        <f>IF($B278="","","당월 잔액:")</f>
        <v/>
      </c>
      <c r="E278" s="21">
        <f>IF($B278="","",INDEX(결산명세서!$G$5:$G$44,14))</f>
        <v/>
      </c>
    </row>
    <row r="279">
      <c r="A279" s="6">
        <f>IF($B278="","","날짜")</f>
        <v/>
      </c>
      <c r="B279" s="6">
        <f>IF($B278="","","거래처")</f>
        <v/>
      </c>
      <c r="C279" s="6">
        <f>IF($B278="","","적요")</f>
        <v/>
      </c>
      <c r="D279" s="6">
        <f>IF($B278="","","차변")</f>
        <v/>
      </c>
      <c r="E279" s="6">
        <f>IF($B278="","","대변")</f>
        <v/>
      </c>
    </row>
    <row r="280">
      <c r="A280" s="12">
        <f>IF($B278="","",IFERROR(INDEX(원장입력!$A$5:$A$204,MATCH($B278&amp;"#1",원장입력!$G$5:$G$204,0)),""))</f>
        <v/>
      </c>
      <c r="B280" s="12">
        <f>IF($B278="","",IFERROR(INDEX(원장입력!$C$5:$C$204,MATCH($B278&amp;"#1",원장입력!$G$5:$G$204,0)),""))</f>
        <v/>
      </c>
      <c r="C280" s="12">
        <f>IF($B278="","",IFERROR(INDEX(원장입력!$D$5:$D$204,MATCH($B278&amp;"#1",원장입력!$G$5:$G$204,0)),""))</f>
        <v/>
      </c>
      <c r="D280" s="14">
        <f>IF($B278="","",IFERROR(INDEX(원장입력!$E$5:$E$204,MATCH($B278&amp;"#1",원장입력!$G$5:$G$204,0)),""))</f>
        <v/>
      </c>
      <c r="E280" s="14">
        <f>IF($B278="","",IFERROR(INDEX(원장입력!$F$5:$F$204,MATCH($B278&amp;"#1",원장입력!$G$5:$G$204,0)),""))</f>
        <v/>
      </c>
    </row>
    <row r="281">
      <c r="A281" s="12">
        <f>IF($B278="","",IFERROR(INDEX(원장입력!$A$5:$A$204,MATCH($B278&amp;"#2",원장입력!$G$5:$G$204,0)),""))</f>
        <v/>
      </c>
      <c r="B281" s="12">
        <f>IF($B278="","",IFERROR(INDEX(원장입력!$C$5:$C$204,MATCH($B278&amp;"#2",원장입력!$G$5:$G$204,0)),""))</f>
        <v/>
      </c>
      <c r="C281" s="12">
        <f>IF($B278="","",IFERROR(INDEX(원장입력!$D$5:$D$204,MATCH($B278&amp;"#2",원장입력!$G$5:$G$204,0)),""))</f>
        <v/>
      </c>
      <c r="D281" s="14">
        <f>IF($B278="","",IFERROR(INDEX(원장입력!$E$5:$E$204,MATCH($B278&amp;"#2",원장입력!$G$5:$G$204,0)),""))</f>
        <v/>
      </c>
      <c r="E281" s="14">
        <f>IF($B278="","",IFERROR(INDEX(원장입력!$F$5:$F$204,MATCH($B278&amp;"#2",원장입력!$G$5:$G$204,0)),""))</f>
        <v/>
      </c>
    </row>
    <row r="282">
      <c r="A282" s="12">
        <f>IF($B278="","",IFERROR(INDEX(원장입력!$A$5:$A$204,MATCH($B278&amp;"#3",원장입력!$G$5:$G$204,0)),""))</f>
        <v/>
      </c>
      <c r="B282" s="12">
        <f>IF($B278="","",IFERROR(INDEX(원장입력!$C$5:$C$204,MATCH($B278&amp;"#3",원장입력!$G$5:$G$204,0)),""))</f>
        <v/>
      </c>
      <c r="C282" s="12">
        <f>IF($B278="","",IFERROR(INDEX(원장입력!$D$5:$D$204,MATCH($B278&amp;"#3",원장입력!$G$5:$G$204,0)),""))</f>
        <v/>
      </c>
      <c r="D282" s="14">
        <f>IF($B278="","",IFERROR(INDEX(원장입력!$E$5:$E$204,MATCH($B278&amp;"#3",원장입력!$G$5:$G$204,0)),""))</f>
        <v/>
      </c>
      <c r="E282" s="14">
        <f>IF($B278="","",IFERROR(INDEX(원장입력!$F$5:$F$204,MATCH($B278&amp;"#3",원장입력!$G$5:$G$204,0)),""))</f>
        <v/>
      </c>
    </row>
    <row r="283">
      <c r="A283" s="12">
        <f>IF($B278="","",IFERROR(INDEX(원장입력!$A$5:$A$204,MATCH($B278&amp;"#4",원장입력!$G$5:$G$204,0)),""))</f>
        <v/>
      </c>
      <c r="B283" s="12">
        <f>IF($B278="","",IFERROR(INDEX(원장입력!$C$5:$C$204,MATCH($B278&amp;"#4",원장입력!$G$5:$G$204,0)),""))</f>
        <v/>
      </c>
      <c r="C283" s="12">
        <f>IF($B278="","",IFERROR(INDEX(원장입력!$D$5:$D$204,MATCH($B278&amp;"#4",원장입력!$G$5:$G$204,0)),""))</f>
        <v/>
      </c>
      <c r="D283" s="14">
        <f>IF($B278="","",IFERROR(INDEX(원장입력!$E$5:$E$204,MATCH($B278&amp;"#4",원장입력!$G$5:$G$204,0)),""))</f>
        <v/>
      </c>
      <c r="E283" s="14">
        <f>IF($B278="","",IFERROR(INDEX(원장입력!$F$5:$F$204,MATCH($B278&amp;"#4",원장입력!$G$5:$G$204,0)),""))</f>
        <v/>
      </c>
    </row>
    <row r="284">
      <c r="A284" s="12">
        <f>IF($B278="","",IFERROR(INDEX(원장입력!$A$5:$A$204,MATCH($B278&amp;"#5",원장입력!$G$5:$G$204,0)),""))</f>
        <v/>
      </c>
      <c r="B284" s="12">
        <f>IF($B278="","",IFERROR(INDEX(원장입력!$C$5:$C$204,MATCH($B278&amp;"#5",원장입력!$G$5:$G$204,0)),""))</f>
        <v/>
      </c>
      <c r="C284" s="12">
        <f>IF($B278="","",IFERROR(INDEX(원장입력!$D$5:$D$204,MATCH($B278&amp;"#5",원장입력!$G$5:$G$204,0)),""))</f>
        <v/>
      </c>
      <c r="D284" s="14">
        <f>IF($B278="","",IFERROR(INDEX(원장입력!$E$5:$E$204,MATCH($B278&amp;"#5",원장입력!$G$5:$G$204,0)),""))</f>
        <v/>
      </c>
      <c r="E284" s="14">
        <f>IF($B278="","",IFERROR(INDEX(원장입력!$F$5:$F$204,MATCH($B278&amp;"#5",원장입력!$G$5:$G$204,0)),""))</f>
        <v/>
      </c>
    </row>
    <row r="285">
      <c r="A285" s="12">
        <f>IF($B278="","",IFERROR(INDEX(원장입력!$A$5:$A$204,MATCH($B278&amp;"#6",원장입력!$G$5:$G$204,0)),""))</f>
        <v/>
      </c>
      <c r="B285" s="12">
        <f>IF($B278="","",IFERROR(INDEX(원장입력!$C$5:$C$204,MATCH($B278&amp;"#6",원장입력!$G$5:$G$204,0)),""))</f>
        <v/>
      </c>
      <c r="C285" s="12">
        <f>IF($B278="","",IFERROR(INDEX(원장입력!$D$5:$D$204,MATCH($B278&amp;"#6",원장입력!$G$5:$G$204,0)),""))</f>
        <v/>
      </c>
      <c r="D285" s="14">
        <f>IF($B278="","",IFERROR(INDEX(원장입력!$E$5:$E$204,MATCH($B278&amp;"#6",원장입력!$G$5:$G$204,0)),""))</f>
        <v/>
      </c>
      <c r="E285" s="14">
        <f>IF($B278="","",IFERROR(INDEX(원장입력!$F$5:$F$204,MATCH($B278&amp;"#6",원장입력!$G$5:$G$204,0)),""))</f>
        <v/>
      </c>
    </row>
    <row r="286">
      <c r="A286" s="12">
        <f>IF($B278="","",IFERROR(INDEX(원장입력!$A$5:$A$204,MATCH($B278&amp;"#7",원장입력!$G$5:$G$204,0)),""))</f>
        <v/>
      </c>
      <c r="B286" s="12">
        <f>IF($B278="","",IFERROR(INDEX(원장입력!$C$5:$C$204,MATCH($B278&amp;"#7",원장입력!$G$5:$G$204,0)),""))</f>
        <v/>
      </c>
      <c r="C286" s="12">
        <f>IF($B278="","",IFERROR(INDEX(원장입력!$D$5:$D$204,MATCH($B278&amp;"#7",원장입력!$G$5:$G$204,0)),""))</f>
        <v/>
      </c>
      <c r="D286" s="14">
        <f>IF($B278="","",IFERROR(INDEX(원장입력!$E$5:$E$204,MATCH($B278&amp;"#7",원장입력!$G$5:$G$204,0)),""))</f>
        <v/>
      </c>
      <c r="E286" s="14">
        <f>IF($B278="","",IFERROR(INDEX(원장입력!$F$5:$F$204,MATCH($B278&amp;"#7",원장입력!$G$5:$G$204,0)),""))</f>
        <v/>
      </c>
    </row>
    <row r="287">
      <c r="A287" s="12">
        <f>IF($B278="","",IFERROR(INDEX(원장입력!$A$5:$A$204,MATCH($B278&amp;"#8",원장입력!$G$5:$G$204,0)),""))</f>
        <v/>
      </c>
      <c r="B287" s="12">
        <f>IF($B278="","",IFERROR(INDEX(원장입력!$C$5:$C$204,MATCH($B278&amp;"#8",원장입력!$G$5:$G$204,0)),""))</f>
        <v/>
      </c>
      <c r="C287" s="12">
        <f>IF($B278="","",IFERROR(INDEX(원장입력!$D$5:$D$204,MATCH($B278&amp;"#8",원장입력!$G$5:$G$204,0)),""))</f>
        <v/>
      </c>
      <c r="D287" s="14">
        <f>IF($B278="","",IFERROR(INDEX(원장입력!$E$5:$E$204,MATCH($B278&amp;"#8",원장입력!$G$5:$G$204,0)),""))</f>
        <v/>
      </c>
      <c r="E287" s="14">
        <f>IF($B278="","",IFERROR(INDEX(원장입력!$F$5:$F$204,MATCH($B278&amp;"#8",원장입력!$G$5:$G$204,0)),""))</f>
        <v/>
      </c>
    </row>
    <row r="288">
      <c r="A288" s="12">
        <f>IF($B278="","",IFERROR(INDEX(원장입력!$A$5:$A$204,MATCH($B278&amp;"#9",원장입력!$G$5:$G$204,0)),""))</f>
        <v/>
      </c>
      <c r="B288" s="12">
        <f>IF($B278="","",IFERROR(INDEX(원장입력!$C$5:$C$204,MATCH($B278&amp;"#9",원장입력!$G$5:$G$204,0)),""))</f>
        <v/>
      </c>
      <c r="C288" s="12">
        <f>IF($B278="","",IFERROR(INDEX(원장입력!$D$5:$D$204,MATCH($B278&amp;"#9",원장입력!$G$5:$G$204,0)),""))</f>
        <v/>
      </c>
      <c r="D288" s="14">
        <f>IF($B278="","",IFERROR(INDEX(원장입력!$E$5:$E$204,MATCH($B278&amp;"#9",원장입력!$G$5:$G$204,0)),""))</f>
        <v/>
      </c>
      <c r="E288" s="14">
        <f>IF($B278="","",IFERROR(INDEX(원장입력!$F$5:$F$204,MATCH($B278&amp;"#9",원장입력!$G$5:$G$204,0)),""))</f>
        <v/>
      </c>
    </row>
    <row r="289">
      <c r="A289" s="12">
        <f>IF($B278="","",IFERROR(INDEX(원장입력!$A$5:$A$204,MATCH($B278&amp;"#10",원장입력!$G$5:$G$204,0)),""))</f>
        <v/>
      </c>
      <c r="B289" s="12">
        <f>IF($B278="","",IFERROR(INDEX(원장입력!$C$5:$C$204,MATCH($B278&amp;"#10",원장입력!$G$5:$G$204,0)),""))</f>
        <v/>
      </c>
      <c r="C289" s="12">
        <f>IF($B278="","",IFERROR(INDEX(원장입력!$D$5:$D$204,MATCH($B278&amp;"#10",원장입력!$G$5:$G$204,0)),""))</f>
        <v/>
      </c>
      <c r="D289" s="14">
        <f>IF($B278="","",IFERROR(INDEX(원장입력!$E$5:$E$204,MATCH($B278&amp;"#10",원장입력!$G$5:$G$204,0)),""))</f>
        <v/>
      </c>
      <c r="E289" s="14">
        <f>IF($B278="","",IFERROR(INDEX(원장입력!$F$5:$F$204,MATCH($B278&amp;"#10",원장입력!$G$5:$G$204,0)),""))</f>
        <v/>
      </c>
    </row>
    <row r="290">
      <c r="A290" s="12">
        <f>IF($B278="","",IFERROR(INDEX(원장입력!$A$5:$A$204,MATCH($B278&amp;"#11",원장입력!$G$5:$G$204,0)),""))</f>
        <v/>
      </c>
      <c r="B290" s="12">
        <f>IF($B278="","",IFERROR(INDEX(원장입력!$C$5:$C$204,MATCH($B278&amp;"#11",원장입력!$G$5:$G$204,0)),""))</f>
        <v/>
      </c>
      <c r="C290" s="12">
        <f>IF($B278="","",IFERROR(INDEX(원장입력!$D$5:$D$204,MATCH($B278&amp;"#11",원장입력!$G$5:$G$204,0)),""))</f>
        <v/>
      </c>
      <c r="D290" s="14">
        <f>IF($B278="","",IFERROR(INDEX(원장입력!$E$5:$E$204,MATCH($B278&amp;"#11",원장입력!$G$5:$G$204,0)),""))</f>
        <v/>
      </c>
      <c r="E290" s="14">
        <f>IF($B278="","",IFERROR(INDEX(원장입력!$F$5:$F$204,MATCH($B278&amp;"#11",원장입력!$G$5:$G$204,0)),""))</f>
        <v/>
      </c>
    </row>
    <row r="291">
      <c r="A291" s="12">
        <f>IF($B278="","",IFERROR(INDEX(원장입력!$A$5:$A$204,MATCH($B278&amp;"#12",원장입력!$G$5:$G$204,0)),""))</f>
        <v/>
      </c>
      <c r="B291" s="12">
        <f>IF($B278="","",IFERROR(INDEX(원장입력!$C$5:$C$204,MATCH($B278&amp;"#12",원장입력!$G$5:$G$204,0)),""))</f>
        <v/>
      </c>
      <c r="C291" s="12">
        <f>IF($B278="","",IFERROR(INDEX(원장입력!$D$5:$D$204,MATCH($B278&amp;"#12",원장입력!$G$5:$G$204,0)),""))</f>
        <v/>
      </c>
      <c r="D291" s="14">
        <f>IF($B278="","",IFERROR(INDEX(원장입력!$E$5:$E$204,MATCH($B278&amp;"#12",원장입력!$G$5:$G$204,0)),""))</f>
        <v/>
      </c>
      <c r="E291" s="14">
        <f>IF($B278="","",IFERROR(INDEX(원장입력!$F$5:$F$204,MATCH($B278&amp;"#12",원장입력!$G$5:$G$204,0)),""))</f>
        <v/>
      </c>
    </row>
    <row r="292">
      <c r="A292" s="12">
        <f>IF($B278="","",IFERROR(INDEX(원장입력!$A$5:$A$204,MATCH($B278&amp;"#13",원장입력!$G$5:$G$204,0)),""))</f>
        <v/>
      </c>
      <c r="B292" s="12">
        <f>IF($B278="","",IFERROR(INDEX(원장입력!$C$5:$C$204,MATCH($B278&amp;"#13",원장입력!$G$5:$G$204,0)),""))</f>
        <v/>
      </c>
      <c r="C292" s="12">
        <f>IF($B278="","",IFERROR(INDEX(원장입력!$D$5:$D$204,MATCH($B278&amp;"#13",원장입력!$G$5:$G$204,0)),""))</f>
        <v/>
      </c>
      <c r="D292" s="14">
        <f>IF($B278="","",IFERROR(INDEX(원장입력!$E$5:$E$204,MATCH($B278&amp;"#13",원장입력!$G$5:$G$204,0)),""))</f>
        <v/>
      </c>
      <c r="E292" s="14">
        <f>IF($B278="","",IFERROR(INDEX(원장입력!$F$5:$F$204,MATCH($B278&amp;"#13",원장입력!$G$5:$G$204,0)),""))</f>
        <v/>
      </c>
    </row>
    <row r="293">
      <c r="A293" s="12">
        <f>IF($B278="","",IFERROR(INDEX(원장입력!$A$5:$A$204,MATCH($B278&amp;"#14",원장입력!$G$5:$G$204,0)),""))</f>
        <v/>
      </c>
      <c r="B293" s="12">
        <f>IF($B278="","",IFERROR(INDEX(원장입력!$C$5:$C$204,MATCH($B278&amp;"#14",원장입력!$G$5:$G$204,0)),""))</f>
        <v/>
      </c>
      <c r="C293" s="12">
        <f>IF($B278="","",IFERROR(INDEX(원장입력!$D$5:$D$204,MATCH($B278&amp;"#14",원장입력!$G$5:$G$204,0)),""))</f>
        <v/>
      </c>
      <c r="D293" s="14">
        <f>IF($B278="","",IFERROR(INDEX(원장입력!$E$5:$E$204,MATCH($B278&amp;"#14",원장입력!$G$5:$G$204,0)),""))</f>
        <v/>
      </c>
      <c r="E293" s="14">
        <f>IF($B278="","",IFERROR(INDEX(원장입력!$F$5:$F$204,MATCH($B278&amp;"#14",원장입력!$G$5:$G$204,0)),""))</f>
        <v/>
      </c>
    </row>
    <row r="294">
      <c r="A294" s="12">
        <f>IF($B278="","",IFERROR(INDEX(원장입력!$A$5:$A$204,MATCH($B278&amp;"#15",원장입력!$G$5:$G$204,0)),""))</f>
        <v/>
      </c>
      <c r="B294" s="12">
        <f>IF($B278="","",IFERROR(INDEX(원장입력!$C$5:$C$204,MATCH($B278&amp;"#15",원장입력!$G$5:$G$204,0)),""))</f>
        <v/>
      </c>
      <c r="C294" s="12">
        <f>IF($B278="","",IFERROR(INDEX(원장입력!$D$5:$D$204,MATCH($B278&amp;"#15",원장입력!$G$5:$G$204,0)),""))</f>
        <v/>
      </c>
      <c r="D294" s="14">
        <f>IF($B278="","",IFERROR(INDEX(원장입력!$E$5:$E$204,MATCH($B278&amp;"#15",원장입력!$G$5:$G$204,0)),""))</f>
        <v/>
      </c>
      <c r="E294" s="14">
        <f>IF($B278="","",IFERROR(INDEX(원장입력!$F$5:$F$204,MATCH($B278&amp;"#15",원장입력!$G$5:$G$204,0)),""))</f>
        <v/>
      </c>
    </row>
    <row r="295">
      <c r="C295" s="17">
        <f>IF($B278="","","원장 합계")</f>
        <v/>
      </c>
      <c r="D295" s="14">
        <f>IF($B278="","",SUMIFS(원장입력!$E$5:$E$204,원장입력!$B$5:$B$204,$B278))</f>
        <v/>
      </c>
      <c r="E295" s="14">
        <f>IF($B278="","",SUMIFS(원장입력!$F$5:$F$204,원장입력!$B$5:$B$204,$B278))</f>
        <v/>
      </c>
    </row>
    <row r="296">
      <c r="C296" s="17">
        <f>IF($B278="","","결산 조정")</f>
        <v/>
      </c>
      <c r="D296" s="14">
        <f>IF($B278="","",SUMIFS(결산조정!$B$5:$B$104,결산조정!$A$5:$A$104,$B278))</f>
        <v/>
      </c>
      <c r="E296" s="14">
        <f>IF($B278="","",SUMIFS(결산조정!$C$5:$C$104,결산조정!$A$5:$A$104,$B278))</f>
        <v/>
      </c>
    </row>
    <row r="297"/>
    <row r="298">
      <c r="A298" s="20">
        <f>IF($B299="","","결산 조정 명세서")</f>
        <v/>
      </c>
      <c r="E298" s="5">
        <f>IF($B299="","","대상 월: 2026-09")</f>
        <v/>
      </c>
    </row>
    <row r="299">
      <c r="A299" s="3">
        <f>IF($B299="","","계정과목:")</f>
        <v/>
      </c>
      <c r="B299" s="3">
        <f>IFERROR(INDEX(결산명세서!$B$5:$B$44,15),"")</f>
        <v/>
      </c>
      <c r="D299" s="3">
        <f>IF($B299="","","당월 잔액:")</f>
        <v/>
      </c>
      <c r="E299" s="21">
        <f>IF($B299="","",INDEX(결산명세서!$G$5:$G$44,15))</f>
        <v/>
      </c>
    </row>
    <row r="300">
      <c r="A300" s="6">
        <f>IF($B299="","","날짜")</f>
        <v/>
      </c>
      <c r="B300" s="6">
        <f>IF($B299="","","거래처")</f>
        <v/>
      </c>
      <c r="C300" s="6">
        <f>IF($B299="","","적요")</f>
        <v/>
      </c>
      <c r="D300" s="6">
        <f>IF($B299="","","차변")</f>
        <v/>
      </c>
      <c r="E300" s="6">
        <f>IF($B299="","","대변")</f>
        <v/>
      </c>
    </row>
    <row r="301">
      <c r="A301" s="12">
        <f>IF($B299="","",IFERROR(INDEX(원장입력!$A$5:$A$204,MATCH($B299&amp;"#1",원장입력!$G$5:$G$204,0)),""))</f>
        <v/>
      </c>
      <c r="B301" s="12">
        <f>IF($B299="","",IFERROR(INDEX(원장입력!$C$5:$C$204,MATCH($B299&amp;"#1",원장입력!$G$5:$G$204,0)),""))</f>
        <v/>
      </c>
      <c r="C301" s="12">
        <f>IF($B299="","",IFERROR(INDEX(원장입력!$D$5:$D$204,MATCH($B299&amp;"#1",원장입력!$G$5:$G$204,0)),""))</f>
        <v/>
      </c>
      <c r="D301" s="14">
        <f>IF($B299="","",IFERROR(INDEX(원장입력!$E$5:$E$204,MATCH($B299&amp;"#1",원장입력!$G$5:$G$204,0)),""))</f>
        <v/>
      </c>
      <c r="E301" s="14">
        <f>IF($B299="","",IFERROR(INDEX(원장입력!$F$5:$F$204,MATCH($B299&amp;"#1",원장입력!$G$5:$G$204,0)),""))</f>
        <v/>
      </c>
    </row>
    <row r="302">
      <c r="A302" s="12">
        <f>IF($B299="","",IFERROR(INDEX(원장입력!$A$5:$A$204,MATCH($B299&amp;"#2",원장입력!$G$5:$G$204,0)),""))</f>
        <v/>
      </c>
      <c r="B302" s="12">
        <f>IF($B299="","",IFERROR(INDEX(원장입력!$C$5:$C$204,MATCH($B299&amp;"#2",원장입력!$G$5:$G$204,0)),""))</f>
        <v/>
      </c>
      <c r="C302" s="12">
        <f>IF($B299="","",IFERROR(INDEX(원장입력!$D$5:$D$204,MATCH($B299&amp;"#2",원장입력!$G$5:$G$204,0)),""))</f>
        <v/>
      </c>
      <c r="D302" s="14">
        <f>IF($B299="","",IFERROR(INDEX(원장입력!$E$5:$E$204,MATCH($B299&amp;"#2",원장입력!$G$5:$G$204,0)),""))</f>
        <v/>
      </c>
      <c r="E302" s="14">
        <f>IF($B299="","",IFERROR(INDEX(원장입력!$F$5:$F$204,MATCH($B299&amp;"#2",원장입력!$G$5:$G$204,0)),""))</f>
        <v/>
      </c>
    </row>
    <row r="303">
      <c r="A303" s="12">
        <f>IF($B299="","",IFERROR(INDEX(원장입력!$A$5:$A$204,MATCH($B299&amp;"#3",원장입력!$G$5:$G$204,0)),""))</f>
        <v/>
      </c>
      <c r="B303" s="12">
        <f>IF($B299="","",IFERROR(INDEX(원장입력!$C$5:$C$204,MATCH($B299&amp;"#3",원장입력!$G$5:$G$204,0)),""))</f>
        <v/>
      </c>
      <c r="C303" s="12">
        <f>IF($B299="","",IFERROR(INDEX(원장입력!$D$5:$D$204,MATCH($B299&amp;"#3",원장입력!$G$5:$G$204,0)),""))</f>
        <v/>
      </c>
      <c r="D303" s="14">
        <f>IF($B299="","",IFERROR(INDEX(원장입력!$E$5:$E$204,MATCH($B299&amp;"#3",원장입력!$G$5:$G$204,0)),""))</f>
        <v/>
      </c>
      <c r="E303" s="14">
        <f>IF($B299="","",IFERROR(INDEX(원장입력!$F$5:$F$204,MATCH($B299&amp;"#3",원장입력!$G$5:$G$204,0)),""))</f>
        <v/>
      </c>
    </row>
    <row r="304">
      <c r="A304" s="12">
        <f>IF($B299="","",IFERROR(INDEX(원장입력!$A$5:$A$204,MATCH($B299&amp;"#4",원장입력!$G$5:$G$204,0)),""))</f>
        <v/>
      </c>
      <c r="B304" s="12">
        <f>IF($B299="","",IFERROR(INDEX(원장입력!$C$5:$C$204,MATCH($B299&amp;"#4",원장입력!$G$5:$G$204,0)),""))</f>
        <v/>
      </c>
      <c r="C304" s="12">
        <f>IF($B299="","",IFERROR(INDEX(원장입력!$D$5:$D$204,MATCH($B299&amp;"#4",원장입력!$G$5:$G$204,0)),""))</f>
        <v/>
      </c>
      <c r="D304" s="14">
        <f>IF($B299="","",IFERROR(INDEX(원장입력!$E$5:$E$204,MATCH($B299&amp;"#4",원장입력!$G$5:$G$204,0)),""))</f>
        <v/>
      </c>
      <c r="E304" s="14">
        <f>IF($B299="","",IFERROR(INDEX(원장입력!$F$5:$F$204,MATCH($B299&amp;"#4",원장입력!$G$5:$G$204,0)),""))</f>
        <v/>
      </c>
    </row>
    <row r="305">
      <c r="A305" s="12">
        <f>IF($B299="","",IFERROR(INDEX(원장입력!$A$5:$A$204,MATCH($B299&amp;"#5",원장입력!$G$5:$G$204,0)),""))</f>
        <v/>
      </c>
      <c r="B305" s="12">
        <f>IF($B299="","",IFERROR(INDEX(원장입력!$C$5:$C$204,MATCH($B299&amp;"#5",원장입력!$G$5:$G$204,0)),""))</f>
        <v/>
      </c>
      <c r="C305" s="12">
        <f>IF($B299="","",IFERROR(INDEX(원장입력!$D$5:$D$204,MATCH($B299&amp;"#5",원장입력!$G$5:$G$204,0)),""))</f>
        <v/>
      </c>
      <c r="D305" s="14">
        <f>IF($B299="","",IFERROR(INDEX(원장입력!$E$5:$E$204,MATCH($B299&amp;"#5",원장입력!$G$5:$G$204,0)),""))</f>
        <v/>
      </c>
      <c r="E305" s="14">
        <f>IF($B299="","",IFERROR(INDEX(원장입력!$F$5:$F$204,MATCH($B299&amp;"#5",원장입력!$G$5:$G$204,0)),""))</f>
        <v/>
      </c>
    </row>
    <row r="306">
      <c r="A306" s="12">
        <f>IF($B299="","",IFERROR(INDEX(원장입력!$A$5:$A$204,MATCH($B299&amp;"#6",원장입력!$G$5:$G$204,0)),""))</f>
        <v/>
      </c>
      <c r="B306" s="12">
        <f>IF($B299="","",IFERROR(INDEX(원장입력!$C$5:$C$204,MATCH($B299&amp;"#6",원장입력!$G$5:$G$204,0)),""))</f>
        <v/>
      </c>
      <c r="C306" s="12">
        <f>IF($B299="","",IFERROR(INDEX(원장입력!$D$5:$D$204,MATCH($B299&amp;"#6",원장입력!$G$5:$G$204,0)),""))</f>
        <v/>
      </c>
      <c r="D306" s="14">
        <f>IF($B299="","",IFERROR(INDEX(원장입력!$E$5:$E$204,MATCH($B299&amp;"#6",원장입력!$G$5:$G$204,0)),""))</f>
        <v/>
      </c>
      <c r="E306" s="14">
        <f>IF($B299="","",IFERROR(INDEX(원장입력!$F$5:$F$204,MATCH($B299&amp;"#6",원장입력!$G$5:$G$204,0)),""))</f>
        <v/>
      </c>
    </row>
    <row r="307">
      <c r="A307" s="12">
        <f>IF($B299="","",IFERROR(INDEX(원장입력!$A$5:$A$204,MATCH($B299&amp;"#7",원장입력!$G$5:$G$204,0)),""))</f>
        <v/>
      </c>
      <c r="B307" s="12">
        <f>IF($B299="","",IFERROR(INDEX(원장입력!$C$5:$C$204,MATCH($B299&amp;"#7",원장입력!$G$5:$G$204,0)),""))</f>
        <v/>
      </c>
      <c r="C307" s="12">
        <f>IF($B299="","",IFERROR(INDEX(원장입력!$D$5:$D$204,MATCH($B299&amp;"#7",원장입력!$G$5:$G$204,0)),""))</f>
        <v/>
      </c>
      <c r="D307" s="14">
        <f>IF($B299="","",IFERROR(INDEX(원장입력!$E$5:$E$204,MATCH($B299&amp;"#7",원장입력!$G$5:$G$204,0)),""))</f>
        <v/>
      </c>
      <c r="E307" s="14">
        <f>IF($B299="","",IFERROR(INDEX(원장입력!$F$5:$F$204,MATCH($B299&amp;"#7",원장입력!$G$5:$G$204,0)),""))</f>
        <v/>
      </c>
    </row>
    <row r="308">
      <c r="A308" s="12">
        <f>IF($B299="","",IFERROR(INDEX(원장입력!$A$5:$A$204,MATCH($B299&amp;"#8",원장입력!$G$5:$G$204,0)),""))</f>
        <v/>
      </c>
      <c r="B308" s="12">
        <f>IF($B299="","",IFERROR(INDEX(원장입력!$C$5:$C$204,MATCH($B299&amp;"#8",원장입력!$G$5:$G$204,0)),""))</f>
        <v/>
      </c>
      <c r="C308" s="12">
        <f>IF($B299="","",IFERROR(INDEX(원장입력!$D$5:$D$204,MATCH($B299&amp;"#8",원장입력!$G$5:$G$204,0)),""))</f>
        <v/>
      </c>
      <c r="D308" s="14">
        <f>IF($B299="","",IFERROR(INDEX(원장입력!$E$5:$E$204,MATCH($B299&amp;"#8",원장입력!$G$5:$G$204,0)),""))</f>
        <v/>
      </c>
      <c r="E308" s="14">
        <f>IF($B299="","",IFERROR(INDEX(원장입력!$F$5:$F$204,MATCH($B299&amp;"#8",원장입력!$G$5:$G$204,0)),""))</f>
        <v/>
      </c>
    </row>
    <row r="309">
      <c r="A309" s="12">
        <f>IF($B299="","",IFERROR(INDEX(원장입력!$A$5:$A$204,MATCH($B299&amp;"#9",원장입력!$G$5:$G$204,0)),""))</f>
        <v/>
      </c>
      <c r="B309" s="12">
        <f>IF($B299="","",IFERROR(INDEX(원장입력!$C$5:$C$204,MATCH($B299&amp;"#9",원장입력!$G$5:$G$204,0)),""))</f>
        <v/>
      </c>
      <c r="C309" s="12">
        <f>IF($B299="","",IFERROR(INDEX(원장입력!$D$5:$D$204,MATCH($B299&amp;"#9",원장입력!$G$5:$G$204,0)),""))</f>
        <v/>
      </c>
      <c r="D309" s="14">
        <f>IF($B299="","",IFERROR(INDEX(원장입력!$E$5:$E$204,MATCH($B299&amp;"#9",원장입력!$G$5:$G$204,0)),""))</f>
        <v/>
      </c>
      <c r="E309" s="14">
        <f>IF($B299="","",IFERROR(INDEX(원장입력!$F$5:$F$204,MATCH($B299&amp;"#9",원장입력!$G$5:$G$204,0)),""))</f>
        <v/>
      </c>
    </row>
    <row r="310">
      <c r="A310" s="12">
        <f>IF($B299="","",IFERROR(INDEX(원장입력!$A$5:$A$204,MATCH($B299&amp;"#10",원장입력!$G$5:$G$204,0)),""))</f>
        <v/>
      </c>
      <c r="B310" s="12">
        <f>IF($B299="","",IFERROR(INDEX(원장입력!$C$5:$C$204,MATCH($B299&amp;"#10",원장입력!$G$5:$G$204,0)),""))</f>
        <v/>
      </c>
      <c r="C310" s="12">
        <f>IF($B299="","",IFERROR(INDEX(원장입력!$D$5:$D$204,MATCH($B299&amp;"#10",원장입력!$G$5:$G$204,0)),""))</f>
        <v/>
      </c>
      <c r="D310" s="14">
        <f>IF($B299="","",IFERROR(INDEX(원장입력!$E$5:$E$204,MATCH($B299&amp;"#10",원장입력!$G$5:$G$204,0)),""))</f>
        <v/>
      </c>
      <c r="E310" s="14">
        <f>IF($B299="","",IFERROR(INDEX(원장입력!$F$5:$F$204,MATCH($B299&amp;"#10",원장입력!$G$5:$G$204,0)),""))</f>
        <v/>
      </c>
    </row>
    <row r="311">
      <c r="A311" s="12">
        <f>IF($B299="","",IFERROR(INDEX(원장입력!$A$5:$A$204,MATCH($B299&amp;"#11",원장입력!$G$5:$G$204,0)),""))</f>
        <v/>
      </c>
      <c r="B311" s="12">
        <f>IF($B299="","",IFERROR(INDEX(원장입력!$C$5:$C$204,MATCH($B299&amp;"#11",원장입력!$G$5:$G$204,0)),""))</f>
        <v/>
      </c>
      <c r="C311" s="12">
        <f>IF($B299="","",IFERROR(INDEX(원장입력!$D$5:$D$204,MATCH($B299&amp;"#11",원장입력!$G$5:$G$204,0)),""))</f>
        <v/>
      </c>
      <c r="D311" s="14">
        <f>IF($B299="","",IFERROR(INDEX(원장입력!$E$5:$E$204,MATCH($B299&amp;"#11",원장입력!$G$5:$G$204,0)),""))</f>
        <v/>
      </c>
      <c r="E311" s="14">
        <f>IF($B299="","",IFERROR(INDEX(원장입력!$F$5:$F$204,MATCH($B299&amp;"#11",원장입력!$G$5:$G$204,0)),""))</f>
        <v/>
      </c>
    </row>
    <row r="312">
      <c r="A312" s="12">
        <f>IF($B299="","",IFERROR(INDEX(원장입력!$A$5:$A$204,MATCH($B299&amp;"#12",원장입력!$G$5:$G$204,0)),""))</f>
        <v/>
      </c>
      <c r="B312" s="12">
        <f>IF($B299="","",IFERROR(INDEX(원장입력!$C$5:$C$204,MATCH($B299&amp;"#12",원장입력!$G$5:$G$204,0)),""))</f>
        <v/>
      </c>
      <c r="C312" s="12">
        <f>IF($B299="","",IFERROR(INDEX(원장입력!$D$5:$D$204,MATCH($B299&amp;"#12",원장입력!$G$5:$G$204,0)),""))</f>
        <v/>
      </c>
      <c r="D312" s="14">
        <f>IF($B299="","",IFERROR(INDEX(원장입력!$E$5:$E$204,MATCH($B299&amp;"#12",원장입력!$G$5:$G$204,0)),""))</f>
        <v/>
      </c>
      <c r="E312" s="14">
        <f>IF($B299="","",IFERROR(INDEX(원장입력!$F$5:$F$204,MATCH($B299&amp;"#12",원장입력!$G$5:$G$204,0)),""))</f>
        <v/>
      </c>
    </row>
    <row r="313">
      <c r="A313" s="12">
        <f>IF($B299="","",IFERROR(INDEX(원장입력!$A$5:$A$204,MATCH($B299&amp;"#13",원장입력!$G$5:$G$204,0)),""))</f>
        <v/>
      </c>
      <c r="B313" s="12">
        <f>IF($B299="","",IFERROR(INDEX(원장입력!$C$5:$C$204,MATCH($B299&amp;"#13",원장입력!$G$5:$G$204,0)),""))</f>
        <v/>
      </c>
      <c r="C313" s="12">
        <f>IF($B299="","",IFERROR(INDEX(원장입력!$D$5:$D$204,MATCH($B299&amp;"#13",원장입력!$G$5:$G$204,0)),""))</f>
        <v/>
      </c>
      <c r="D313" s="14">
        <f>IF($B299="","",IFERROR(INDEX(원장입력!$E$5:$E$204,MATCH($B299&amp;"#13",원장입력!$G$5:$G$204,0)),""))</f>
        <v/>
      </c>
      <c r="E313" s="14">
        <f>IF($B299="","",IFERROR(INDEX(원장입력!$F$5:$F$204,MATCH($B299&amp;"#13",원장입력!$G$5:$G$204,0)),""))</f>
        <v/>
      </c>
    </row>
    <row r="314">
      <c r="A314" s="12">
        <f>IF($B299="","",IFERROR(INDEX(원장입력!$A$5:$A$204,MATCH($B299&amp;"#14",원장입력!$G$5:$G$204,0)),""))</f>
        <v/>
      </c>
      <c r="B314" s="12">
        <f>IF($B299="","",IFERROR(INDEX(원장입력!$C$5:$C$204,MATCH($B299&amp;"#14",원장입력!$G$5:$G$204,0)),""))</f>
        <v/>
      </c>
      <c r="C314" s="12">
        <f>IF($B299="","",IFERROR(INDEX(원장입력!$D$5:$D$204,MATCH($B299&amp;"#14",원장입력!$G$5:$G$204,0)),""))</f>
        <v/>
      </c>
      <c r="D314" s="14">
        <f>IF($B299="","",IFERROR(INDEX(원장입력!$E$5:$E$204,MATCH($B299&amp;"#14",원장입력!$G$5:$G$204,0)),""))</f>
        <v/>
      </c>
      <c r="E314" s="14">
        <f>IF($B299="","",IFERROR(INDEX(원장입력!$F$5:$F$204,MATCH($B299&amp;"#14",원장입력!$G$5:$G$204,0)),""))</f>
        <v/>
      </c>
    </row>
    <row r="315">
      <c r="A315" s="12">
        <f>IF($B299="","",IFERROR(INDEX(원장입력!$A$5:$A$204,MATCH($B299&amp;"#15",원장입력!$G$5:$G$204,0)),""))</f>
        <v/>
      </c>
      <c r="B315" s="12">
        <f>IF($B299="","",IFERROR(INDEX(원장입력!$C$5:$C$204,MATCH($B299&amp;"#15",원장입력!$G$5:$G$204,0)),""))</f>
        <v/>
      </c>
      <c r="C315" s="12">
        <f>IF($B299="","",IFERROR(INDEX(원장입력!$D$5:$D$204,MATCH($B299&amp;"#15",원장입력!$G$5:$G$204,0)),""))</f>
        <v/>
      </c>
      <c r="D315" s="14">
        <f>IF($B299="","",IFERROR(INDEX(원장입력!$E$5:$E$204,MATCH($B299&amp;"#15",원장입력!$G$5:$G$204,0)),""))</f>
        <v/>
      </c>
      <c r="E315" s="14">
        <f>IF($B299="","",IFERROR(INDEX(원장입력!$F$5:$F$204,MATCH($B299&amp;"#15",원장입력!$G$5:$G$204,0)),""))</f>
        <v/>
      </c>
    </row>
    <row r="316">
      <c r="C316" s="17">
        <f>IF($B299="","","원장 합계")</f>
        <v/>
      </c>
      <c r="D316" s="14">
        <f>IF($B299="","",SUMIFS(원장입력!$E$5:$E$204,원장입력!$B$5:$B$204,$B299))</f>
        <v/>
      </c>
      <c r="E316" s="14">
        <f>IF($B299="","",SUMIFS(원장입력!$F$5:$F$204,원장입력!$B$5:$B$204,$B299))</f>
        <v/>
      </c>
    </row>
    <row r="317">
      <c r="C317" s="17">
        <f>IF($B299="","","결산 조정")</f>
        <v/>
      </c>
      <c r="D317" s="14">
        <f>IF($B299="","",SUMIFS(결산조정!$B$5:$B$104,결산조정!$A$5:$A$104,$B299))</f>
        <v/>
      </c>
      <c r="E317" s="14">
        <f>IF($B299="","",SUMIFS(결산조정!$C$5:$C$104,결산조정!$A$5:$A$104,$B299))</f>
        <v/>
      </c>
    </row>
    <row r="318"/>
    <row r="319">
      <c r="A319" s="20">
        <f>IF($B320="","","결산 조정 명세서")</f>
        <v/>
      </c>
      <c r="E319" s="5">
        <f>IF($B320="","","대상 월: 2026-09")</f>
        <v/>
      </c>
    </row>
    <row r="320">
      <c r="A320" s="3">
        <f>IF($B320="","","계정과목:")</f>
        <v/>
      </c>
      <c r="B320" s="3">
        <f>IFERROR(INDEX(결산명세서!$B$5:$B$44,16),"")</f>
        <v/>
      </c>
      <c r="D320" s="3">
        <f>IF($B320="","","당월 잔액:")</f>
        <v/>
      </c>
      <c r="E320" s="21">
        <f>IF($B320="","",INDEX(결산명세서!$G$5:$G$44,16))</f>
        <v/>
      </c>
    </row>
    <row r="321">
      <c r="A321" s="6">
        <f>IF($B320="","","날짜")</f>
        <v/>
      </c>
      <c r="B321" s="6">
        <f>IF($B320="","","거래처")</f>
        <v/>
      </c>
      <c r="C321" s="6">
        <f>IF($B320="","","적요")</f>
        <v/>
      </c>
      <c r="D321" s="6">
        <f>IF($B320="","","차변")</f>
        <v/>
      </c>
      <c r="E321" s="6">
        <f>IF($B320="","","대변")</f>
        <v/>
      </c>
    </row>
    <row r="322">
      <c r="A322" s="12">
        <f>IF($B320="","",IFERROR(INDEX(원장입력!$A$5:$A$204,MATCH($B320&amp;"#1",원장입력!$G$5:$G$204,0)),""))</f>
        <v/>
      </c>
      <c r="B322" s="12">
        <f>IF($B320="","",IFERROR(INDEX(원장입력!$C$5:$C$204,MATCH($B320&amp;"#1",원장입력!$G$5:$G$204,0)),""))</f>
        <v/>
      </c>
      <c r="C322" s="12">
        <f>IF($B320="","",IFERROR(INDEX(원장입력!$D$5:$D$204,MATCH($B320&amp;"#1",원장입력!$G$5:$G$204,0)),""))</f>
        <v/>
      </c>
      <c r="D322" s="14">
        <f>IF($B320="","",IFERROR(INDEX(원장입력!$E$5:$E$204,MATCH($B320&amp;"#1",원장입력!$G$5:$G$204,0)),""))</f>
        <v/>
      </c>
      <c r="E322" s="14">
        <f>IF($B320="","",IFERROR(INDEX(원장입력!$F$5:$F$204,MATCH($B320&amp;"#1",원장입력!$G$5:$G$204,0)),""))</f>
        <v/>
      </c>
    </row>
    <row r="323">
      <c r="A323" s="12">
        <f>IF($B320="","",IFERROR(INDEX(원장입력!$A$5:$A$204,MATCH($B320&amp;"#2",원장입력!$G$5:$G$204,0)),""))</f>
        <v/>
      </c>
      <c r="B323" s="12">
        <f>IF($B320="","",IFERROR(INDEX(원장입력!$C$5:$C$204,MATCH($B320&amp;"#2",원장입력!$G$5:$G$204,0)),""))</f>
        <v/>
      </c>
      <c r="C323" s="12">
        <f>IF($B320="","",IFERROR(INDEX(원장입력!$D$5:$D$204,MATCH($B320&amp;"#2",원장입력!$G$5:$G$204,0)),""))</f>
        <v/>
      </c>
      <c r="D323" s="14">
        <f>IF($B320="","",IFERROR(INDEX(원장입력!$E$5:$E$204,MATCH($B320&amp;"#2",원장입력!$G$5:$G$204,0)),""))</f>
        <v/>
      </c>
      <c r="E323" s="14">
        <f>IF($B320="","",IFERROR(INDEX(원장입력!$F$5:$F$204,MATCH($B320&amp;"#2",원장입력!$G$5:$G$204,0)),""))</f>
        <v/>
      </c>
    </row>
    <row r="324">
      <c r="A324" s="12">
        <f>IF($B320="","",IFERROR(INDEX(원장입력!$A$5:$A$204,MATCH($B320&amp;"#3",원장입력!$G$5:$G$204,0)),""))</f>
        <v/>
      </c>
      <c r="B324" s="12">
        <f>IF($B320="","",IFERROR(INDEX(원장입력!$C$5:$C$204,MATCH($B320&amp;"#3",원장입력!$G$5:$G$204,0)),""))</f>
        <v/>
      </c>
      <c r="C324" s="12">
        <f>IF($B320="","",IFERROR(INDEX(원장입력!$D$5:$D$204,MATCH($B320&amp;"#3",원장입력!$G$5:$G$204,0)),""))</f>
        <v/>
      </c>
      <c r="D324" s="14">
        <f>IF($B320="","",IFERROR(INDEX(원장입력!$E$5:$E$204,MATCH($B320&amp;"#3",원장입력!$G$5:$G$204,0)),""))</f>
        <v/>
      </c>
      <c r="E324" s="14">
        <f>IF($B320="","",IFERROR(INDEX(원장입력!$F$5:$F$204,MATCH($B320&amp;"#3",원장입력!$G$5:$G$204,0)),""))</f>
        <v/>
      </c>
    </row>
    <row r="325">
      <c r="A325" s="12">
        <f>IF($B320="","",IFERROR(INDEX(원장입력!$A$5:$A$204,MATCH($B320&amp;"#4",원장입력!$G$5:$G$204,0)),""))</f>
        <v/>
      </c>
      <c r="B325" s="12">
        <f>IF($B320="","",IFERROR(INDEX(원장입력!$C$5:$C$204,MATCH($B320&amp;"#4",원장입력!$G$5:$G$204,0)),""))</f>
        <v/>
      </c>
      <c r="C325" s="12">
        <f>IF($B320="","",IFERROR(INDEX(원장입력!$D$5:$D$204,MATCH($B320&amp;"#4",원장입력!$G$5:$G$204,0)),""))</f>
        <v/>
      </c>
      <c r="D325" s="14">
        <f>IF($B320="","",IFERROR(INDEX(원장입력!$E$5:$E$204,MATCH($B320&amp;"#4",원장입력!$G$5:$G$204,0)),""))</f>
        <v/>
      </c>
      <c r="E325" s="14">
        <f>IF($B320="","",IFERROR(INDEX(원장입력!$F$5:$F$204,MATCH($B320&amp;"#4",원장입력!$G$5:$G$204,0)),""))</f>
        <v/>
      </c>
    </row>
    <row r="326">
      <c r="A326" s="12">
        <f>IF($B320="","",IFERROR(INDEX(원장입력!$A$5:$A$204,MATCH($B320&amp;"#5",원장입력!$G$5:$G$204,0)),""))</f>
        <v/>
      </c>
      <c r="B326" s="12">
        <f>IF($B320="","",IFERROR(INDEX(원장입력!$C$5:$C$204,MATCH($B320&amp;"#5",원장입력!$G$5:$G$204,0)),""))</f>
        <v/>
      </c>
      <c r="C326" s="12">
        <f>IF($B320="","",IFERROR(INDEX(원장입력!$D$5:$D$204,MATCH($B320&amp;"#5",원장입력!$G$5:$G$204,0)),""))</f>
        <v/>
      </c>
      <c r="D326" s="14">
        <f>IF($B320="","",IFERROR(INDEX(원장입력!$E$5:$E$204,MATCH($B320&amp;"#5",원장입력!$G$5:$G$204,0)),""))</f>
        <v/>
      </c>
      <c r="E326" s="14">
        <f>IF($B320="","",IFERROR(INDEX(원장입력!$F$5:$F$204,MATCH($B320&amp;"#5",원장입력!$G$5:$G$204,0)),""))</f>
        <v/>
      </c>
    </row>
    <row r="327">
      <c r="A327" s="12">
        <f>IF($B320="","",IFERROR(INDEX(원장입력!$A$5:$A$204,MATCH($B320&amp;"#6",원장입력!$G$5:$G$204,0)),""))</f>
        <v/>
      </c>
      <c r="B327" s="12">
        <f>IF($B320="","",IFERROR(INDEX(원장입력!$C$5:$C$204,MATCH($B320&amp;"#6",원장입력!$G$5:$G$204,0)),""))</f>
        <v/>
      </c>
      <c r="C327" s="12">
        <f>IF($B320="","",IFERROR(INDEX(원장입력!$D$5:$D$204,MATCH($B320&amp;"#6",원장입력!$G$5:$G$204,0)),""))</f>
        <v/>
      </c>
      <c r="D327" s="14">
        <f>IF($B320="","",IFERROR(INDEX(원장입력!$E$5:$E$204,MATCH($B320&amp;"#6",원장입력!$G$5:$G$204,0)),""))</f>
        <v/>
      </c>
      <c r="E327" s="14">
        <f>IF($B320="","",IFERROR(INDEX(원장입력!$F$5:$F$204,MATCH($B320&amp;"#6",원장입력!$G$5:$G$204,0)),""))</f>
        <v/>
      </c>
    </row>
    <row r="328">
      <c r="A328" s="12">
        <f>IF($B320="","",IFERROR(INDEX(원장입력!$A$5:$A$204,MATCH($B320&amp;"#7",원장입력!$G$5:$G$204,0)),""))</f>
        <v/>
      </c>
      <c r="B328" s="12">
        <f>IF($B320="","",IFERROR(INDEX(원장입력!$C$5:$C$204,MATCH($B320&amp;"#7",원장입력!$G$5:$G$204,0)),""))</f>
        <v/>
      </c>
      <c r="C328" s="12">
        <f>IF($B320="","",IFERROR(INDEX(원장입력!$D$5:$D$204,MATCH($B320&amp;"#7",원장입력!$G$5:$G$204,0)),""))</f>
        <v/>
      </c>
      <c r="D328" s="14">
        <f>IF($B320="","",IFERROR(INDEX(원장입력!$E$5:$E$204,MATCH($B320&amp;"#7",원장입력!$G$5:$G$204,0)),""))</f>
        <v/>
      </c>
      <c r="E328" s="14">
        <f>IF($B320="","",IFERROR(INDEX(원장입력!$F$5:$F$204,MATCH($B320&amp;"#7",원장입력!$G$5:$G$204,0)),""))</f>
        <v/>
      </c>
    </row>
    <row r="329">
      <c r="A329" s="12">
        <f>IF($B320="","",IFERROR(INDEX(원장입력!$A$5:$A$204,MATCH($B320&amp;"#8",원장입력!$G$5:$G$204,0)),""))</f>
        <v/>
      </c>
      <c r="B329" s="12">
        <f>IF($B320="","",IFERROR(INDEX(원장입력!$C$5:$C$204,MATCH($B320&amp;"#8",원장입력!$G$5:$G$204,0)),""))</f>
        <v/>
      </c>
      <c r="C329" s="12">
        <f>IF($B320="","",IFERROR(INDEX(원장입력!$D$5:$D$204,MATCH($B320&amp;"#8",원장입력!$G$5:$G$204,0)),""))</f>
        <v/>
      </c>
      <c r="D329" s="14">
        <f>IF($B320="","",IFERROR(INDEX(원장입력!$E$5:$E$204,MATCH($B320&amp;"#8",원장입력!$G$5:$G$204,0)),""))</f>
        <v/>
      </c>
      <c r="E329" s="14">
        <f>IF($B320="","",IFERROR(INDEX(원장입력!$F$5:$F$204,MATCH($B320&amp;"#8",원장입력!$G$5:$G$204,0)),""))</f>
        <v/>
      </c>
    </row>
    <row r="330">
      <c r="A330" s="12">
        <f>IF($B320="","",IFERROR(INDEX(원장입력!$A$5:$A$204,MATCH($B320&amp;"#9",원장입력!$G$5:$G$204,0)),""))</f>
        <v/>
      </c>
      <c r="B330" s="12">
        <f>IF($B320="","",IFERROR(INDEX(원장입력!$C$5:$C$204,MATCH($B320&amp;"#9",원장입력!$G$5:$G$204,0)),""))</f>
        <v/>
      </c>
      <c r="C330" s="12">
        <f>IF($B320="","",IFERROR(INDEX(원장입력!$D$5:$D$204,MATCH($B320&amp;"#9",원장입력!$G$5:$G$204,0)),""))</f>
        <v/>
      </c>
      <c r="D330" s="14">
        <f>IF($B320="","",IFERROR(INDEX(원장입력!$E$5:$E$204,MATCH($B320&amp;"#9",원장입력!$G$5:$G$204,0)),""))</f>
        <v/>
      </c>
      <c r="E330" s="14">
        <f>IF($B320="","",IFERROR(INDEX(원장입력!$F$5:$F$204,MATCH($B320&amp;"#9",원장입력!$G$5:$G$204,0)),""))</f>
        <v/>
      </c>
    </row>
    <row r="331">
      <c r="A331" s="12">
        <f>IF($B320="","",IFERROR(INDEX(원장입력!$A$5:$A$204,MATCH($B320&amp;"#10",원장입력!$G$5:$G$204,0)),""))</f>
        <v/>
      </c>
      <c r="B331" s="12">
        <f>IF($B320="","",IFERROR(INDEX(원장입력!$C$5:$C$204,MATCH($B320&amp;"#10",원장입력!$G$5:$G$204,0)),""))</f>
        <v/>
      </c>
      <c r="C331" s="12">
        <f>IF($B320="","",IFERROR(INDEX(원장입력!$D$5:$D$204,MATCH($B320&amp;"#10",원장입력!$G$5:$G$204,0)),""))</f>
        <v/>
      </c>
      <c r="D331" s="14">
        <f>IF($B320="","",IFERROR(INDEX(원장입력!$E$5:$E$204,MATCH($B320&amp;"#10",원장입력!$G$5:$G$204,0)),""))</f>
        <v/>
      </c>
      <c r="E331" s="14">
        <f>IF($B320="","",IFERROR(INDEX(원장입력!$F$5:$F$204,MATCH($B320&amp;"#10",원장입력!$G$5:$G$204,0)),""))</f>
        <v/>
      </c>
    </row>
    <row r="332">
      <c r="A332" s="12">
        <f>IF($B320="","",IFERROR(INDEX(원장입력!$A$5:$A$204,MATCH($B320&amp;"#11",원장입력!$G$5:$G$204,0)),""))</f>
        <v/>
      </c>
      <c r="B332" s="12">
        <f>IF($B320="","",IFERROR(INDEX(원장입력!$C$5:$C$204,MATCH($B320&amp;"#11",원장입력!$G$5:$G$204,0)),""))</f>
        <v/>
      </c>
      <c r="C332" s="12">
        <f>IF($B320="","",IFERROR(INDEX(원장입력!$D$5:$D$204,MATCH($B320&amp;"#11",원장입력!$G$5:$G$204,0)),""))</f>
        <v/>
      </c>
      <c r="D332" s="14">
        <f>IF($B320="","",IFERROR(INDEX(원장입력!$E$5:$E$204,MATCH($B320&amp;"#11",원장입력!$G$5:$G$204,0)),""))</f>
        <v/>
      </c>
      <c r="E332" s="14">
        <f>IF($B320="","",IFERROR(INDEX(원장입력!$F$5:$F$204,MATCH($B320&amp;"#11",원장입력!$G$5:$G$204,0)),""))</f>
        <v/>
      </c>
    </row>
    <row r="333">
      <c r="A333" s="12">
        <f>IF($B320="","",IFERROR(INDEX(원장입력!$A$5:$A$204,MATCH($B320&amp;"#12",원장입력!$G$5:$G$204,0)),""))</f>
        <v/>
      </c>
      <c r="B333" s="12">
        <f>IF($B320="","",IFERROR(INDEX(원장입력!$C$5:$C$204,MATCH($B320&amp;"#12",원장입력!$G$5:$G$204,0)),""))</f>
        <v/>
      </c>
      <c r="C333" s="12">
        <f>IF($B320="","",IFERROR(INDEX(원장입력!$D$5:$D$204,MATCH($B320&amp;"#12",원장입력!$G$5:$G$204,0)),""))</f>
        <v/>
      </c>
      <c r="D333" s="14">
        <f>IF($B320="","",IFERROR(INDEX(원장입력!$E$5:$E$204,MATCH($B320&amp;"#12",원장입력!$G$5:$G$204,0)),""))</f>
        <v/>
      </c>
      <c r="E333" s="14">
        <f>IF($B320="","",IFERROR(INDEX(원장입력!$F$5:$F$204,MATCH($B320&amp;"#12",원장입력!$G$5:$G$204,0)),""))</f>
        <v/>
      </c>
    </row>
    <row r="334">
      <c r="A334" s="12">
        <f>IF($B320="","",IFERROR(INDEX(원장입력!$A$5:$A$204,MATCH($B320&amp;"#13",원장입력!$G$5:$G$204,0)),""))</f>
        <v/>
      </c>
      <c r="B334" s="12">
        <f>IF($B320="","",IFERROR(INDEX(원장입력!$C$5:$C$204,MATCH($B320&amp;"#13",원장입력!$G$5:$G$204,0)),""))</f>
        <v/>
      </c>
      <c r="C334" s="12">
        <f>IF($B320="","",IFERROR(INDEX(원장입력!$D$5:$D$204,MATCH($B320&amp;"#13",원장입력!$G$5:$G$204,0)),""))</f>
        <v/>
      </c>
      <c r="D334" s="14">
        <f>IF($B320="","",IFERROR(INDEX(원장입력!$E$5:$E$204,MATCH($B320&amp;"#13",원장입력!$G$5:$G$204,0)),""))</f>
        <v/>
      </c>
      <c r="E334" s="14">
        <f>IF($B320="","",IFERROR(INDEX(원장입력!$F$5:$F$204,MATCH($B320&amp;"#13",원장입력!$G$5:$G$204,0)),""))</f>
        <v/>
      </c>
    </row>
    <row r="335">
      <c r="A335" s="12">
        <f>IF($B320="","",IFERROR(INDEX(원장입력!$A$5:$A$204,MATCH($B320&amp;"#14",원장입력!$G$5:$G$204,0)),""))</f>
        <v/>
      </c>
      <c r="B335" s="12">
        <f>IF($B320="","",IFERROR(INDEX(원장입력!$C$5:$C$204,MATCH($B320&amp;"#14",원장입력!$G$5:$G$204,0)),""))</f>
        <v/>
      </c>
      <c r="C335" s="12">
        <f>IF($B320="","",IFERROR(INDEX(원장입력!$D$5:$D$204,MATCH($B320&amp;"#14",원장입력!$G$5:$G$204,0)),""))</f>
        <v/>
      </c>
      <c r="D335" s="14">
        <f>IF($B320="","",IFERROR(INDEX(원장입력!$E$5:$E$204,MATCH($B320&amp;"#14",원장입력!$G$5:$G$204,0)),""))</f>
        <v/>
      </c>
      <c r="E335" s="14">
        <f>IF($B320="","",IFERROR(INDEX(원장입력!$F$5:$F$204,MATCH($B320&amp;"#14",원장입력!$G$5:$G$204,0)),""))</f>
        <v/>
      </c>
    </row>
    <row r="336">
      <c r="A336" s="12">
        <f>IF($B320="","",IFERROR(INDEX(원장입력!$A$5:$A$204,MATCH($B320&amp;"#15",원장입력!$G$5:$G$204,0)),""))</f>
        <v/>
      </c>
      <c r="B336" s="12">
        <f>IF($B320="","",IFERROR(INDEX(원장입력!$C$5:$C$204,MATCH($B320&amp;"#15",원장입력!$G$5:$G$204,0)),""))</f>
        <v/>
      </c>
      <c r="C336" s="12">
        <f>IF($B320="","",IFERROR(INDEX(원장입력!$D$5:$D$204,MATCH($B320&amp;"#15",원장입력!$G$5:$G$204,0)),""))</f>
        <v/>
      </c>
      <c r="D336" s="14">
        <f>IF($B320="","",IFERROR(INDEX(원장입력!$E$5:$E$204,MATCH($B320&amp;"#15",원장입력!$G$5:$G$204,0)),""))</f>
        <v/>
      </c>
      <c r="E336" s="14">
        <f>IF($B320="","",IFERROR(INDEX(원장입력!$F$5:$F$204,MATCH($B320&amp;"#15",원장입력!$G$5:$G$204,0)),""))</f>
        <v/>
      </c>
    </row>
    <row r="337">
      <c r="C337" s="17">
        <f>IF($B320="","","원장 합계")</f>
        <v/>
      </c>
      <c r="D337" s="14">
        <f>IF($B320="","",SUMIFS(원장입력!$E$5:$E$204,원장입력!$B$5:$B$204,$B320))</f>
        <v/>
      </c>
      <c r="E337" s="14">
        <f>IF($B320="","",SUMIFS(원장입력!$F$5:$F$204,원장입력!$B$5:$B$204,$B320))</f>
        <v/>
      </c>
    </row>
    <row r="338">
      <c r="C338" s="17">
        <f>IF($B320="","","결산 조정")</f>
        <v/>
      </c>
      <c r="D338" s="14">
        <f>IF($B320="","",SUMIFS(결산조정!$B$5:$B$104,결산조정!$A$5:$A$104,$B320))</f>
        <v/>
      </c>
      <c r="E338" s="14">
        <f>IF($B320="","",SUMIFS(결산조정!$C$5:$C$104,결산조정!$A$5:$A$104,$B320))</f>
        <v/>
      </c>
    </row>
    <row r="339"/>
    <row r="340">
      <c r="A340" s="20">
        <f>IF($B341="","","결산 조정 명세서")</f>
        <v/>
      </c>
      <c r="E340" s="5">
        <f>IF($B341="","","대상 월: 2026-09")</f>
        <v/>
      </c>
    </row>
    <row r="341">
      <c r="A341" s="3">
        <f>IF($B341="","","계정과목:")</f>
        <v/>
      </c>
      <c r="B341" s="3">
        <f>IFERROR(INDEX(결산명세서!$B$5:$B$44,17),"")</f>
        <v/>
      </c>
      <c r="D341" s="3">
        <f>IF($B341="","","당월 잔액:")</f>
        <v/>
      </c>
      <c r="E341" s="21">
        <f>IF($B341="","",INDEX(결산명세서!$G$5:$G$44,17))</f>
        <v/>
      </c>
    </row>
    <row r="342">
      <c r="A342" s="6">
        <f>IF($B341="","","날짜")</f>
        <v/>
      </c>
      <c r="B342" s="6">
        <f>IF($B341="","","거래처")</f>
        <v/>
      </c>
      <c r="C342" s="6">
        <f>IF($B341="","","적요")</f>
        <v/>
      </c>
      <c r="D342" s="6">
        <f>IF($B341="","","차변")</f>
        <v/>
      </c>
      <c r="E342" s="6">
        <f>IF($B341="","","대변")</f>
        <v/>
      </c>
    </row>
    <row r="343">
      <c r="A343" s="12">
        <f>IF($B341="","",IFERROR(INDEX(원장입력!$A$5:$A$204,MATCH($B341&amp;"#1",원장입력!$G$5:$G$204,0)),""))</f>
        <v/>
      </c>
      <c r="B343" s="12">
        <f>IF($B341="","",IFERROR(INDEX(원장입력!$C$5:$C$204,MATCH($B341&amp;"#1",원장입력!$G$5:$G$204,0)),""))</f>
        <v/>
      </c>
      <c r="C343" s="12">
        <f>IF($B341="","",IFERROR(INDEX(원장입력!$D$5:$D$204,MATCH($B341&amp;"#1",원장입력!$G$5:$G$204,0)),""))</f>
        <v/>
      </c>
      <c r="D343" s="14">
        <f>IF($B341="","",IFERROR(INDEX(원장입력!$E$5:$E$204,MATCH($B341&amp;"#1",원장입력!$G$5:$G$204,0)),""))</f>
        <v/>
      </c>
      <c r="E343" s="14">
        <f>IF($B341="","",IFERROR(INDEX(원장입력!$F$5:$F$204,MATCH($B341&amp;"#1",원장입력!$G$5:$G$204,0)),""))</f>
        <v/>
      </c>
    </row>
    <row r="344">
      <c r="A344" s="12">
        <f>IF($B341="","",IFERROR(INDEX(원장입력!$A$5:$A$204,MATCH($B341&amp;"#2",원장입력!$G$5:$G$204,0)),""))</f>
        <v/>
      </c>
      <c r="B344" s="12">
        <f>IF($B341="","",IFERROR(INDEX(원장입력!$C$5:$C$204,MATCH($B341&amp;"#2",원장입력!$G$5:$G$204,0)),""))</f>
        <v/>
      </c>
      <c r="C344" s="12">
        <f>IF($B341="","",IFERROR(INDEX(원장입력!$D$5:$D$204,MATCH($B341&amp;"#2",원장입력!$G$5:$G$204,0)),""))</f>
        <v/>
      </c>
      <c r="D344" s="14">
        <f>IF($B341="","",IFERROR(INDEX(원장입력!$E$5:$E$204,MATCH($B341&amp;"#2",원장입력!$G$5:$G$204,0)),""))</f>
        <v/>
      </c>
      <c r="E344" s="14">
        <f>IF($B341="","",IFERROR(INDEX(원장입력!$F$5:$F$204,MATCH($B341&amp;"#2",원장입력!$G$5:$G$204,0)),""))</f>
        <v/>
      </c>
    </row>
    <row r="345">
      <c r="A345" s="12">
        <f>IF($B341="","",IFERROR(INDEX(원장입력!$A$5:$A$204,MATCH($B341&amp;"#3",원장입력!$G$5:$G$204,0)),""))</f>
        <v/>
      </c>
      <c r="B345" s="12">
        <f>IF($B341="","",IFERROR(INDEX(원장입력!$C$5:$C$204,MATCH($B341&amp;"#3",원장입력!$G$5:$G$204,0)),""))</f>
        <v/>
      </c>
      <c r="C345" s="12">
        <f>IF($B341="","",IFERROR(INDEX(원장입력!$D$5:$D$204,MATCH($B341&amp;"#3",원장입력!$G$5:$G$204,0)),""))</f>
        <v/>
      </c>
      <c r="D345" s="14">
        <f>IF($B341="","",IFERROR(INDEX(원장입력!$E$5:$E$204,MATCH($B341&amp;"#3",원장입력!$G$5:$G$204,0)),""))</f>
        <v/>
      </c>
      <c r="E345" s="14">
        <f>IF($B341="","",IFERROR(INDEX(원장입력!$F$5:$F$204,MATCH($B341&amp;"#3",원장입력!$G$5:$G$204,0)),""))</f>
        <v/>
      </c>
    </row>
    <row r="346">
      <c r="A346" s="12">
        <f>IF($B341="","",IFERROR(INDEX(원장입력!$A$5:$A$204,MATCH($B341&amp;"#4",원장입력!$G$5:$G$204,0)),""))</f>
        <v/>
      </c>
      <c r="B346" s="12">
        <f>IF($B341="","",IFERROR(INDEX(원장입력!$C$5:$C$204,MATCH($B341&amp;"#4",원장입력!$G$5:$G$204,0)),""))</f>
        <v/>
      </c>
      <c r="C346" s="12">
        <f>IF($B341="","",IFERROR(INDEX(원장입력!$D$5:$D$204,MATCH($B341&amp;"#4",원장입력!$G$5:$G$204,0)),""))</f>
        <v/>
      </c>
      <c r="D346" s="14">
        <f>IF($B341="","",IFERROR(INDEX(원장입력!$E$5:$E$204,MATCH($B341&amp;"#4",원장입력!$G$5:$G$204,0)),""))</f>
        <v/>
      </c>
      <c r="E346" s="14">
        <f>IF($B341="","",IFERROR(INDEX(원장입력!$F$5:$F$204,MATCH($B341&amp;"#4",원장입력!$G$5:$G$204,0)),""))</f>
        <v/>
      </c>
    </row>
    <row r="347">
      <c r="A347" s="12">
        <f>IF($B341="","",IFERROR(INDEX(원장입력!$A$5:$A$204,MATCH($B341&amp;"#5",원장입력!$G$5:$G$204,0)),""))</f>
        <v/>
      </c>
      <c r="B347" s="12">
        <f>IF($B341="","",IFERROR(INDEX(원장입력!$C$5:$C$204,MATCH($B341&amp;"#5",원장입력!$G$5:$G$204,0)),""))</f>
        <v/>
      </c>
      <c r="C347" s="12">
        <f>IF($B341="","",IFERROR(INDEX(원장입력!$D$5:$D$204,MATCH($B341&amp;"#5",원장입력!$G$5:$G$204,0)),""))</f>
        <v/>
      </c>
      <c r="D347" s="14">
        <f>IF($B341="","",IFERROR(INDEX(원장입력!$E$5:$E$204,MATCH($B341&amp;"#5",원장입력!$G$5:$G$204,0)),""))</f>
        <v/>
      </c>
      <c r="E347" s="14">
        <f>IF($B341="","",IFERROR(INDEX(원장입력!$F$5:$F$204,MATCH($B341&amp;"#5",원장입력!$G$5:$G$204,0)),""))</f>
        <v/>
      </c>
    </row>
    <row r="348">
      <c r="A348" s="12">
        <f>IF($B341="","",IFERROR(INDEX(원장입력!$A$5:$A$204,MATCH($B341&amp;"#6",원장입력!$G$5:$G$204,0)),""))</f>
        <v/>
      </c>
      <c r="B348" s="12">
        <f>IF($B341="","",IFERROR(INDEX(원장입력!$C$5:$C$204,MATCH($B341&amp;"#6",원장입력!$G$5:$G$204,0)),""))</f>
        <v/>
      </c>
      <c r="C348" s="12">
        <f>IF($B341="","",IFERROR(INDEX(원장입력!$D$5:$D$204,MATCH($B341&amp;"#6",원장입력!$G$5:$G$204,0)),""))</f>
        <v/>
      </c>
      <c r="D348" s="14">
        <f>IF($B341="","",IFERROR(INDEX(원장입력!$E$5:$E$204,MATCH($B341&amp;"#6",원장입력!$G$5:$G$204,0)),""))</f>
        <v/>
      </c>
      <c r="E348" s="14">
        <f>IF($B341="","",IFERROR(INDEX(원장입력!$F$5:$F$204,MATCH($B341&amp;"#6",원장입력!$G$5:$G$204,0)),""))</f>
        <v/>
      </c>
    </row>
    <row r="349">
      <c r="A349" s="12">
        <f>IF($B341="","",IFERROR(INDEX(원장입력!$A$5:$A$204,MATCH($B341&amp;"#7",원장입력!$G$5:$G$204,0)),""))</f>
        <v/>
      </c>
      <c r="B349" s="12">
        <f>IF($B341="","",IFERROR(INDEX(원장입력!$C$5:$C$204,MATCH($B341&amp;"#7",원장입력!$G$5:$G$204,0)),""))</f>
        <v/>
      </c>
      <c r="C349" s="12">
        <f>IF($B341="","",IFERROR(INDEX(원장입력!$D$5:$D$204,MATCH($B341&amp;"#7",원장입력!$G$5:$G$204,0)),""))</f>
        <v/>
      </c>
      <c r="D349" s="14">
        <f>IF($B341="","",IFERROR(INDEX(원장입력!$E$5:$E$204,MATCH($B341&amp;"#7",원장입력!$G$5:$G$204,0)),""))</f>
        <v/>
      </c>
      <c r="E349" s="14">
        <f>IF($B341="","",IFERROR(INDEX(원장입력!$F$5:$F$204,MATCH($B341&amp;"#7",원장입력!$G$5:$G$204,0)),""))</f>
        <v/>
      </c>
    </row>
    <row r="350">
      <c r="A350" s="12">
        <f>IF($B341="","",IFERROR(INDEX(원장입력!$A$5:$A$204,MATCH($B341&amp;"#8",원장입력!$G$5:$G$204,0)),""))</f>
        <v/>
      </c>
      <c r="B350" s="12">
        <f>IF($B341="","",IFERROR(INDEX(원장입력!$C$5:$C$204,MATCH($B341&amp;"#8",원장입력!$G$5:$G$204,0)),""))</f>
        <v/>
      </c>
      <c r="C350" s="12">
        <f>IF($B341="","",IFERROR(INDEX(원장입력!$D$5:$D$204,MATCH($B341&amp;"#8",원장입력!$G$5:$G$204,0)),""))</f>
        <v/>
      </c>
      <c r="D350" s="14">
        <f>IF($B341="","",IFERROR(INDEX(원장입력!$E$5:$E$204,MATCH($B341&amp;"#8",원장입력!$G$5:$G$204,0)),""))</f>
        <v/>
      </c>
      <c r="E350" s="14">
        <f>IF($B341="","",IFERROR(INDEX(원장입력!$F$5:$F$204,MATCH($B341&amp;"#8",원장입력!$G$5:$G$204,0)),""))</f>
        <v/>
      </c>
    </row>
    <row r="351">
      <c r="A351" s="12">
        <f>IF($B341="","",IFERROR(INDEX(원장입력!$A$5:$A$204,MATCH($B341&amp;"#9",원장입력!$G$5:$G$204,0)),""))</f>
        <v/>
      </c>
      <c r="B351" s="12">
        <f>IF($B341="","",IFERROR(INDEX(원장입력!$C$5:$C$204,MATCH($B341&amp;"#9",원장입력!$G$5:$G$204,0)),""))</f>
        <v/>
      </c>
      <c r="C351" s="12">
        <f>IF($B341="","",IFERROR(INDEX(원장입력!$D$5:$D$204,MATCH($B341&amp;"#9",원장입력!$G$5:$G$204,0)),""))</f>
        <v/>
      </c>
      <c r="D351" s="14">
        <f>IF($B341="","",IFERROR(INDEX(원장입력!$E$5:$E$204,MATCH($B341&amp;"#9",원장입력!$G$5:$G$204,0)),""))</f>
        <v/>
      </c>
      <c r="E351" s="14">
        <f>IF($B341="","",IFERROR(INDEX(원장입력!$F$5:$F$204,MATCH($B341&amp;"#9",원장입력!$G$5:$G$204,0)),""))</f>
        <v/>
      </c>
    </row>
    <row r="352">
      <c r="A352" s="12">
        <f>IF($B341="","",IFERROR(INDEX(원장입력!$A$5:$A$204,MATCH($B341&amp;"#10",원장입력!$G$5:$G$204,0)),""))</f>
        <v/>
      </c>
      <c r="B352" s="12">
        <f>IF($B341="","",IFERROR(INDEX(원장입력!$C$5:$C$204,MATCH($B341&amp;"#10",원장입력!$G$5:$G$204,0)),""))</f>
        <v/>
      </c>
      <c r="C352" s="12">
        <f>IF($B341="","",IFERROR(INDEX(원장입력!$D$5:$D$204,MATCH($B341&amp;"#10",원장입력!$G$5:$G$204,0)),""))</f>
        <v/>
      </c>
      <c r="D352" s="14">
        <f>IF($B341="","",IFERROR(INDEX(원장입력!$E$5:$E$204,MATCH($B341&amp;"#10",원장입력!$G$5:$G$204,0)),""))</f>
        <v/>
      </c>
      <c r="E352" s="14">
        <f>IF($B341="","",IFERROR(INDEX(원장입력!$F$5:$F$204,MATCH($B341&amp;"#10",원장입력!$G$5:$G$204,0)),""))</f>
        <v/>
      </c>
    </row>
    <row r="353">
      <c r="A353" s="12">
        <f>IF($B341="","",IFERROR(INDEX(원장입력!$A$5:$A$204,MATCH($B341&amp;"#11",원장입력!$G$5:$G$204,0)),""))</f>
        <v/>
      </c>
      <c r="B353" s="12">
        <f>IF($B341="","",IFERROR(INDEX(원장입력!$C$5:$C$204,MATCH($B341&amp;"#11",원장입력!$G$5:$G$204,0)),""))</f>
        <v/>
      </c>
      <c r="C353" s="12">
        <f>IF($B341="","",IFERROR(INDEX(원장입력!$D$5:$D$204,MATCH($B341&amp;"#11",원장입력!$G$5:$G$204,0)),""))</f>
        <v/>
      </c>
      <c r="D353" s="14">
        <f>IF($B341="","",IFERROR(INDEX(원장입력!$E$5:$E$204,MATCH($B341&amp;"#11",원장입력!$G$5:$G$204,0)),""))</f>
        <v/>
      </c>
      <c r="E353" s="14">
        <f>IF($B341="","",IFERROR(INDEX(원장입력!$F$5:$F$204,MATCH($B341&amp;"#11",원장입력!$G$5:$G$204,0)),""))</f>
        <v/>
      </c>
    </row>
    <row r="354">
      <c r="A354" s="12">
        <f>IF($B341="","",IFERROR(INDEX(원장입력!$A$5:$A$204,MATCH($B341&amp;"#12",원장입력!$G$5:$G$204,0)),""))</f>
        <v/>
      </c>
      <c r="B354" s="12">
        <f>IF($B341="","",IFERROR(INDEX(원장입력!$C$5:$C$204,MATCH($B341&amp;"#12",원장입력!$G$5:$G$204,0)),""))</f>
        <v/>
      </c>
      <c r="C354" s="12">
        <f>IF($B341="","",IFERROR(INDEX(원장입력!$D$5:$D$204,MATCH($B341&amp;"#12",원장입력!$G$5:$G$204,0)),""))</f>
        <v/>
      </c>
      <c r="D354" s="14">
        <f>IF($B341="","",IFERROR(INDEX(원장입력!$E$5:$E$204,MATCH($B341&amp;"#12",원장입력!$G$5:$G$204,0)),""))</f>
        <v/>
      </c>
      <c r="E354" s="14">
        <f>IF($B341="","",IFERROR(INDEX(원장입력!$F$5:$F$204,MATCH($B341&amp;"#12",원장입력!$G$5:$G$204,0)),""))</f>
        <v/>
      </c>
    </row>
    <row r="355">
      <c r="A355" s="12">
        <f>IF($B341="","",IFERROR(INDEX(원장입력!$A$5:$A$204,MATCH($B341&amp;"#13",원장입력!$G$5:$G$204,0)),""))</f>
        <v/>
      </c>
      <c r="B355" s="12">
        <f>IF($B341="","",IFERROR(INDEX(원장입력!$C$5:$C$204,MATCH($B341&amp;"#13",원장입력!$G$5:$G$204,0)),""))</f>
        <v/>
      </c>
      <c r="C355" s="12">
        <f>IF($B341="","",IFERROR(INDEX(원장입력!$D$5:$D$204,MATCH($B341&amp;"#13",원장입력!$G$5:$G$204,0)),""))</f>
        <v/>
      </c>
      <c r="D355" s="14">
        <f>IF($B341="","",IFERROR(INDEX(원장입력!$E$5:$E$204,MATCH($B341&amp;"#13",원장입력!$G$5:$G$204,0)),""))</f>
        <v/>
      </c>
      <c r="E355" s="14">
        <f>IF($B341="","",IFERROR(INDEX(원장입력!$F$5:$F$204,MATCH($B341&amp;"#13",원장입력!$G$5:$G$204,0)),""))</f>
        <v/>
      </c>
    </row>
    <row r="356">
      <c r="A356" s="12">
        <f>IF($B341="","",IFERROR(INDEX(원장입력!$A$5:$A$204,MATCH($B341&amp;"#14",원장입력!$G$5:$G$204,0)),""))</f>
        <v/>
      </c>
      <c r="B356" s="12">
        <f>IF($B341="","",IFERROR(INDEX(원장입력!$C$5:$C$204,MATCH($B341&amp;"#14",원장입력!$G$5:$G$204,0)),""))</f>
        <v/>
      </c>
      <c r="C356" s="12">
        <f>IF($B341="","",IFERROR(INDEX(원장입력!$D$5:$D$204,MATCH($B341&amp;"#14",원장입력!$G$5:$G$204,0)),""))</f>
        <v/>
      </c>
      <c r="D356" s="14">
        <f>IF($B341="","",IFERROR(INDEX(원장입력!$E$5:$E$204,MATCH($B341&amp;"#14",원장입력!$G$5:$G$204,0)),""))</f>
        <v/>
      </c>
      <c r="E356" s="14">
        <f>IF($B341="","",IFERROR(INDEX(원장입력!$F$5:$F$204,MATCH($B341&amp;"#14",원장입력!$G$5:$G$204,0)),""))</f>
        <v/>
      </c>
    </row>
    <row r="357">
      <c r="A357" s="12">
        <f>IF($B341="","",IFERROR(INDEX(원장입력!$A$5:$A$204,MATCH($B341&amp;"#15",원장입력!$G$5:$G$204,0)),""))</f>
        <v/>
      </c>
      <c r="B357" s="12">
        <f>IF($B341="","",IFERROR(INDEX(원장입력!$C$5:$C$204,MATCH($B341&amp;"#15",원장입력!$G$5:$G$204,0)),""))</f>
        <v/>
      </c>
      <c r="C357" s="12">
        <f>IF($B341="","",IFERROR(INDEX(원장입력!$D$5:$D$204,MATCH($B341&amp;"#15",원장입력!$G$5:$G$204,0)),""))</f>
        <v/>
      </c>
      <c r="D357" s="14">
        <f>IF($B341="","",IFERROR(INDEX(원장입력!$E$5:$E$204,MATCH($B341&amp;"#15",원장입력!$G$5:$G$204,0)),""))</f>
        <v/>
      </c>
      <c r="E357" s="14">
        <f>IF($B341="","",IFERROR(INDEX(원장입력!$F$5:$F$204,MATCH($B341&amp;"#15",원장입력!$G$5:$G$204,0)),""))</f>
        <v/>
      </c>
    </row>
    <row r="358">
      <c r="C358" s="17">
        <f>IF($B341="","","원장 합계")</f>
        <v/>
      </c>
      <c r="D358" s="14">
        <f>IF($B341="","",SUMIFS(원장입력!$E$5:$E$204,원장입력!$B$5:$B$204,$B341))</f>
        <v/>
      </c>
      <c r="E358" s="14">
        <f>IF($B341="","",SUMIFS(원장입력!$F$5:$F$204,원장입력!$B$5:$B$204,$B341))</f>
        <v/>
      </c>
    </row>
    <row r="359">
      <c r="C359" s="17">
        <f>IF($B341="","","결산 조정")</f>
        <v/>
      </c>
      <c r="D359" s="14">
        <f>IF($B341="","",SUMIFS(결산조정!$B$5:$B$104,결산조정!$A$5:$A$104,$B341))</f>
        <v/>
      </c>
      <c r="E359" s="14">
        <f>IF($B341="","",SUMIFS(결산조정!$C$5:$C$104,결산조정!$A$5:$A$104,$B341))</f>
        <v/>
      </c>
    </row>
    <row r="360"/>
    <row r="361">
      <c r="A361" s="20">
        <f>IF($B362="","","결산 조정 명세서")</f>
        <v/>
      </c>
      <c r="E361" s="5">
        <f>IF($B362="","","대상 월: 2026-09")</f>
        <v/>
      </c>
    </row>
    <row r="362">
      <c r="A362" s="3">
        <f>IF($B362="","","계정과목:")</f>
        <v/>
      </c>
      <c r="B362" s="3">
        <f>IFERROR(INDEX(결산명세서!$B$5:$B$44,18),"")</f>
        <v/>
      </c>
      <c r="D362" s="3">
        <f>IF($B362="","","당월 잔액:")</f>
        <v/>
      </c>
      <c r="E362" s="21">
        <f>IF($B362="","",INDEX(결산명세서!$G$5:$G$44,18))</f>
        <v/>
      </c>
    </row>
    <row r="363">
      <c r="A363" s="6">
        <f>IF($B362="","","날짜")</f>
        <v/>
      </c>
      <c r="B363" s="6">
        <f>IF($B362="","","거래처")</f>
        <v/>
      </c>
      <c r="C363" s="6">
        <f>IF($B362="","","적요")</f>
        <v/>
      </c>
      <c r="D363" s="6">
        <f>IF($B362="","","차변")</f>
        <v/>
      </c>
      <c r="E363" s="6">
        <f>IF($B362="","","대변")</f>
        <v/>
      </c>
    </row>
    <row r="364">
      <c r="A364" s="12">
        <f>IF($B362="","",IFERROR(INDEX(원장입력!$A$5:$A$204,MATCH($B362&amp;"#1",원장입력!$G$5:$G$204,0)),""))</f>
        <v/>
      </c>
      <c r="B364" s="12">
        <f>IF($B362="","",IFERROR(INDEX(원장입력!$C$5:$C$204,MATCH($B362&amp;"#1",원장입력!$G$5:$G$204,0)),""))</f>
        <v/>
      </c>
      <c r="C364" s="12">
        <f>IF($B362="","",IFERROR(INDEX(원장입력!$D$5:$D$204,MATCH($B362&amp;"#1",원장입력!$G$5:$G$204,0)),""))</f>
        <v/>
      </c>
      <c r="D364" s="14">
        <f>IF($B362="","",IFERROR(INDEX(원장입력!$E$5:$E$204,MATCH($B362&amp;"#1",원장입력!$G$5:$G$204,0)),""))</f>
        <v/>
      </c>
      <c r="E364" s="14">
        <f>IF($B362="","",IFERROR(INDEX(원장입력!$F$5:$F$204,MATCH($B362&amp;"#1",원장입력!$G$5:$G$204,0)),""))</f>
        <v/>
      </c>
    </row>
    <row r="365">
      <c r="A365" s="12">
        <f>IF($B362="","",IFERROR(INDEX(원장입력!$A$5:$A$204,MATCH($B362&amp;"#2",원장입력!$G$5:$G$204,0)),""))</f>
        <v/>
      </c>
      <c r="B365" s="12">
        <f>IF($B362="","",IFERROR(INDEX(원장입력!$C$5:$C$204,MATCH($B362&amp;"#2",원장입력!$G$5:$G$204,0)),""))</f>
        <v/>
      </c>
      <c r="C365" s="12">
        <f>IF($B362="","",IFERROR(INDEX(원장입력!$D$5:$D$204,MATCH($B362&amp;"#2",원장입력!$G$5:$G$204,0)),""))</f>
        <v/>
      </c>
      <c r="D365" s="14">
        <f>IF($B362="","",IFERROR(INDEX(원장입력!$E$5:$E$204,MATCH($B362&amp;"#2",원장입력!$G$5:$G$204,0)),""))</f>
        <v/>
      </c>
      <c r="E365" s="14">
        <f>IF($B362="","",IFERROR(INDEX(원장입력!$F$5:$F$204,MATCH($B362&amp;"#2",원장입력!$G$5:$G$204,0)),""))</f>
        <v/>
      </c>
    </row>
    <row r="366">
      <c r="A366" s="12">
        <f>IF($B362="","",IFERROR(INDEX(원장입력!$A$5:$A$204,MATCH($B362&amp;"#3",원장입력!$G$5:$G$204,0)),""))</f>
        <v/>
      </c>
      <c r="B366" s="12">
        <f>IF($B362="","",IFERROR(INDEX(원장입력!$C$5:$C$204,MATCH($B362&amp;"#3",원장입력!$G$5:$G$204,0)),""))</f>
        <v/>
      </c>
      <c r="C366" s="12">
        <f>IF($B362="","",IFERROR(INDEX(원장입력!$D$5:$D$204,MATCH($B362&amp;"#3",원장입력!$G$5:$G$204,0)),""))</f>
        <v/>
      </c>
      <c r="D366" s="14">
        <f>IF($B362="","",IFERROR(INDEX(원장입력!$E$5:$E$204,MATCH($B362&amp;"#3",원장입력!$G$5:$G$204,0)),""))</f>
        <v/>
      </c>
      <c r="E366" s="14">
        <f>IF($B362="","",IFERROR(INDEX(원장입력!$F$5:$F$204,MATCH($B362&amp;"#3",원장입력!$G$5:$G$204,0)),""))</f>
        <v/>
      </c>
    </row>
    <row r="367">
      <c r="A367" s="12">
        <f>IF($B362="","",IFERROR(INDEX(원장입력!$A$5:$A$204,MATCH($B362&amp;"#4",원장입력!$G$5:$G$204,0)),""))</f>
        <v/>
      </c>
      <c r="B367" s="12">
        <f>IF($B362="","",IFERROR(INDEX(원장입력!$C$5:$C$204,MATCH($B362&amp;"#4",원장입력!$G$5:$G$204,0)),""))</f>
        <v/>
      </c>
      <c r="C367" s="12">
        <f>IF($B362="","",IFERROR(INDEX(원장입력!$D$5:$D$204,MATCH($B362&amp;"#4",원장입력!$G$5:$G$204,0)),""))</f>
        <v/>
      </c>
      <c r="D367" s="14">
        <f>IF($B362="","",IFERROR(INDEX(원장입력!$E$5:$E$204,MATCH($B362&amp;"#4",원장입력!$G$5:$G$204,0)),""))</f>
        <v/>
      </c>
      <c r="E367" s="14">
        <f>IF($B362="","",IFERROR(INDEX(원장입력!$F$5:$F$204,MATCH($B362&amp;"#4",원장입력!$G$5:$G$204,0)),""))</f>
        <v/>
      </c>
    </row>
    <row r="368">
      <c r="A368" s="12">
        <f>IF($B362="","",IFERROR(INDEX(원장입력!$A$5:$A$204,MATCH($B362&amp;"#5",원장입력!$G$5:$G$204,0)),""))</f>
        <v/>
      </c>
      <c r="B368" s="12">
        <f>IF($B362="","",IFERROR(INDEX(원장입력!$C$5:$C$204,MATCH($B362&amp;"#5",원장입력!$G$5:$G$204,0)),""))</f>
        <v/>
      </c>
      <c r="C368" s="12">
        <f>IF($B362="","",IFERROR(INDEX(원장입력!$D$5:$D$204,MATCH($B362&amp;"#5",원장입력!$G$5:$G$204,0)),""))</f>
        <v/>
      </c>
      <c r="D368" s="14">
        <f>IF($B362="","",IFERROR(INDEX(원장입력!$E$5:$E$204,MATCH($B362&amp;"#5",원장입력!$G$5:$G$204,0)),""))</f>
        <v/>
      </c>
      <c r="E368" s="14">
        <f>IF($B362="","",IFERROR(INDEX(원장입력!$F$5:$F$204,MATCH($B362&amp;"#5",원장입력!$G$5:$G$204,0)),""))</f>
        <v/>
      </c>
    </row>
    <row r="369">
      <c r="A369" s="12">
        <f>IF($B362="","",IFERROR(INDEX(원장입력!$A$5:$A$204,MATCH($B362&amp;"#6",원장입력!$G$5:$G$204,0)),""))</f>
        <v/>
      </c>
      <c r="B369" s="12">
        <f>IF($B362="","",IFERROR(INDEX(원장입력!$C$5:$C$204,MATCH($B362&amp;"#6",원장입력!$G$5:$G$204,0)),""))</f>
        <v/>
      </c>
      <c r="C369" s="12">
        <f>IF($B362="","",IFERROR(INDEX(원장입력!$D$5:$D$204,MATCH($B362&amp;"#6",원장입력!$G$5:$G$204,0)),""))</f>
        <v/>
      </c>
      <c r="D369" s="14">
        <f>IF($B362="","",IFERROR(INDEX(원장입력!$E$5:$E$204,MATCH($B362&amp;"#6",원장입력!$G$5:$G$204,0)),""))</f>
        <v/>
      </c>
      <c r="E369" s="14">
        <f>IF($B362="","",IFERROR(INDEX(원장입력!$F$5:$F$204,MATCH($B362&amp;"#6",원장입력!$G$5:$G$204,0)),""))</f>
        <v/>
      </c>
    </row>
    <row r="370">
      <c r="A370" s="12">
        <f>IF($B362="","",IFERROR(INDEX(원장입력!$A$5:$A$204,MATCH($B362&amp;"#7",원장입력!$G$5:$G$204,0)),""))</f>
        <v/>
      </c>
      <c r="B370" s="12">
        <f>IF($B362="","",IFERROR(INDEX(원장입력!$C$5:$C$204,MATCH($B362&amp;"#7",원장입력!$G$5:$G$204,0)),""))</f>
        <v/>
      </c>
      <c r="C370" s="12">
        <f>IF($B362="","",IFERROR(INDEX(원장입력!$D$5:$D$204,MATCH($B362&amp;"#7",원장입력!$G$5:$G$204,0)),""))</f>
        <v/>
      </c>
      <c r="D370" s="14">
        <f>IF($B362="","",IFERROR(INDEX(원장입력!$E$5:$E$204,MATCH($B362&amp;"#7",원장입력!$G$5:$G$204,0)),""))</f>
        <v/>
      </c>
      <c r="E370" s="14">
        <f>IF($B362="","",IFERROR(INDEX(원장입력!$F$5:$F$204,MATCH($B362&amp;"#7",원장입력!$G$5:$G$204,0)),""))</f>
        <v/>
      </c>
    </row>
    <row r="371">
      <c r="A371" s="12">
        <f>IF($B362="","",IFERROR(INDEX(원장입력!$A$5:$A$204,MATCH($B362&amp;"#8",원장입력!$G$5:$G$204,0)),""))</f>
        <v/>
      </c>
      <c r="B371" s="12">
        <f>IF($B362="","",IFERROR(INDEX(원장입력!$C$5:$C$204,MATCH($B362&amp;"#8",원장입력!$G$5:$G$204,0)),""))</f>
        <v/>
      </c>
      <c r="C371" s="12">
        <f>IF($B362="","",IFERROR(INDEX(원장입력!$D$5:$D$204,MATCH($B362&amp;"#8",원장입력!$G$5:$G$204,0)),""))</f>
        <v/>
      </c>
      <c r="D371" s="14">
        <f>IF($B362="","",IFERROR(INDEX(원장입력!$E$5:$E$204,MATCH($B362&amp;"#8",원장입력!$G$5:$G$204,0)),""))</f>
        <v/>
      </c>
      <c r="E371" s="14">
        <f>IF($B362="","",IFERROR(INDEX(원장입력!$F$5:$F$204,MATCH($B362&amp;"#8",원장입력!$G$5:$G$204,0)),""))</f>
        <v/>
      </c>
    </row>
    <row r="372">
      <c r="A372" s="12">
        <f>IF($B362="","",IFERROR(INDEX(원장입력!$A$5:$A$204,MATCH($B362&amp;"#9",원장입력!$G$5:$G$204,0)),""))</f>
        <v/>
      </c>
      <c r="B372" s="12">
        <f>IF($B362="","",IFERROR(INDEX(원장입력!$C$5:$C$204,MATCH($B362&amp;"#9",원장입력!$G$5:$G$204,0)),""))</f>
        <v/>
      </c>
      <c r="C372" s="12">
        <f>IF($B362="","",IFERROR(INDEX(원장입력!$D$5:$D$204,MATCH($B362&amp;"#9",원장입력!$G$5:$G$204,0)),""))</f>
        <v/>
      </c>
      <c r="D372" s="14">
        <f>IF($B362="","",IFERROR(INDEX(원장입력!$E$5:$E$204,MATCH($B362&amp;"#9",원장입력!$G$5:$G$204,0)),""))</f>
        <v/>
      </c>
      <c r="E372" s="14">
        <f>IF($B362="","",IFERROR(INDEX(원장입력!$F$5:$F$204,MATCH($B362&amp;"#9",원장입력!$G$5:$G$204,0)),""))</f>
        <v/>
      </c>
    </row>
    <row r="373">
      <c r="A373" s="12">
        <f>IF($B362="","",IFERROR(INDEX(원장입력!$A$5:$A$204,MATCH($B362&amp;"#10",원장입력!$G$5:$G$204,0)),""))</f>
        <v/>
      </c>
      <c r="B373" s="12">
        <f>IF($B362="","",IFERROR(INDEX(원장입력!$C$5:$C$204,MATCH($B362&amp;"#10",원장입력!$G$5:$G$204,0)),""))</f>
        <v/>
      </c>
      <c r="C373" s="12">
        <f>IF($B362="","",IFERROR(INDEX(원장입력!$D$5:$D$204,MATCH($B362&amp;"#10",원장입력!$G$5:$G$204,0)),""))</f>
        <v/>
      </c>
      <c r="D373" s="14">
        <f>IF($B362="","",IFERROR(INDEX(원장입력!$E$5:$E$204,MATCH($B362&amp;"#10",원장입력!$G$5:$G$204,0)),""))</f>
        <v/>
      </c>
      <c r="E373" s="14">
        <f>IF($B362="","",IFERROR(INDEX(원장입력!$F$5:$F$204,MATCH($B362&amp;"#10",원장입력!$G$5:$G$204,0)),""))</f>
        <v/>
      </c>
    </row>
    <row r="374">
      <c r="A374" s="12">
        <f>IF($B362="","",IFERROR(INDEX(원장입력!$A$5:$A$204,MATCH($B362&amp;"#11",원장입력!$G$5:$G$204,0)),""))</f>
        <v/>
      </c>
      <c r="B374" s="12">
        <f>IF($B362="","",IFERROR(INDEX(원장입력!$C$5:$C$204,MATCH($B362&amp;"#11",원장입력!$G$5:$G$204,0)),""))</f>
        <v/>
      </c>
      <c r="C374" s="12">
        <f>IF($B362="","",IFERROR(INDEX(원장입력!$D$5:$D$204,MATCH($B362&amp;"#11",원장입력!$G$5:$G$204,0)),""))</f>
        <v/>
      </c>
      <c r="D374" s="14">
        <f>IF($B362="","",IFERROR(INDEX(원장입력!$E$5:$E$204,MATCH($B362&amp;"#11",원장입력!$G$5:$G$204,0)),""))</f>
        <v/>
      </c>
      <c r="E374" s="14">
        <f>IF($B362="","",IFERROR(INDEX(원장입력!$F$5:$F$204,MATCH($B362&amp;"#11",원장입력!$G$5:$G$204,0)),""))</f>
        <v/>
      </c>
    </row>
    <row r="375">
      <c r="A375" s="12">
        <f>IF($B362="","",IFERROR(INDEX(원장입력!$A$5:$A$204,MATCH($B362&amp;"#12",원장입력!$G$5:$G$204,0)),""))</f>
        <v/>
      </c>
      <c r="B375" s="12">
        <f>IF($B362="","",IFERROR(INDEX(원장입력!$C$5:$C$204,MATCH($B362&amp;"#12",원장입력!$G$5:$G$204,0)),""))</f>
        <v/>
      </c>
      <c r="C375" s="12">
        <f>IF($B362="","",IFERROR(INDEX(원장입력!$D$5:$D$204,MATCH($B362&amp;"#12",원장입력!$G$5:$G$204,0)),""))</f>
        <v/>
      </c>
      <c r="D375" s="14">
        <f>IF($B362="","",IFERROR(INDEX(원장입력!$E$5:$E$204,MATCH($B362&amp;"#12",원장입력!$G$5:$G$204,0)),""))</f>
        <v/>
      </c>
      <c r="E375" s="14">
        <f>IF($B362="","",IFERROR(INDEX(원장입력!$F$5:$F$204,MATCH($B362&amp;"#12",원장입력!$G$5:$G$204,0)),""))</f>
        <v/>
      </c>
    </row>
    <row r="376">
      <c r="A376" s="12">
        <f>IF($B362="","",IFERROR(INDEX(원장입력!$A$5:$A$204,MATCH($B362&amp;"#13",원장입력!$G$5:$G$204,0)),""))</f>
        <v/>
      </c>
      <c r="B376" s="12">
        <f>IF($B362="","",IFERROR(INDEX(원장입력!$C$5:$C$204,MATCH($B362&amp;"#13",원장입력!$G$5:$G$204,0)),""))</f>
        <v/>
      </c>
      <c r="C376" s="12">
        <f>IF($B362="","",IFERROR(INDEX(원장입력!$D$5:$D$204,MATCH($B362&amp;"#13",원장입력!$G$5:$G$204,0)),""))</f>
        <v/>
      </c>
      <c r="D376" s="14">
        <f>IF($B362="","",IFERROR(INDEX(원장입력!$E$5:$E$204,MATCH($B362&amp;"#13",원장입력!$G$5:$G$204,0)),""))</f>
        <v/>
      </c>
      <c r="E376" s="14">
        <f>IF($B362="","",IFERROR(INDEX(원장입력!$F$5:$F$204,MATCH($B362&amp;"#13",원장입력!$G$5:$G$204,0)),""))</f>
        <v/>
      </c>
    </row>
    <row r="377">
      <c r="A377" s="12">
        <f>IF($B362="","",IFERROR(INDEX(원장입력!$A$5:$A$204,MATCH($B362&amp;"#14",원장입력!$G$5:$G$204,0)),""))</f>
        <v/>
      </c>
      <c r="B377" s="12">
        <f>IF($B362="","",IFERROR(INDEX(원장입력!$C$5:$C$204,MATCH($B362&amp;"#14",원장입력!$G$5:$G$204,0)),""))</f>
        <v/>
      </c>
      <c r="C377" s="12">
        <f>IF($B362="","",IFERROR(INDEX(원장입력!$D$5:$D$204,MATCH($B362&amp;"#14",원장입력!$G$5:$G$204,0)),""))</f>
        <v/>
      </c>
      <c r="D377" s="14">
        <f>IF($B362="","",IFERROR(INDEX(원장입력!$E$5:$E$204,MATCH($B362&amp;"#14",원장입력!$G$5:$G$204,0)),""))</f>
        <v/>
      </c>
      <c r="E377" s="14">
        <f>IF($B362="","",IFERROR(INDEX(원장입력!$F$5:$F$204,MATCH($B362&amp;"#14",원장입력!$G$5:$G$204,0)),""))</f>
        <v/>
      </c>
    </row>
    <row r="378">
      <c r="A378" s="12">
        <f>IF($B362="","",IFERROR(INDEX(원장입력!$A$5:$A$204,MATCH($B362&amp;"#15",원장입력!$G$5:$G$204,0)),""))</f>
        <v/>
      </c>
      <c r="B378" s="12">
        <f>IF($B362="","",IFERROR(INDEX(원장입력!$C$5:$C$204,MATCH($B362&amp;"#15",원장입력!$G$5:$G$204,0)),""))</f>
        <v/>
      </c>
      <c r="C378" s="12">
        <f>IF($B362="","",IFERROR(INDEX(원장입력!$D$5:$D$204,MATCH($B362&amp;"#15",원장입력!$G$5:$G$204,0)),""))</f>
        <v/>
      </c>
      <c r="D378" s="14">
        <f>IF($B362="","",IFERROR(INDEX(원장입력!$E$5:$E$204,MATCH($B362&amp;"#15",원장입력!$G$5:$G$204,0)),""))</f>
        <v/>
      </c>
      <c r="E378" s="14">
        <f>IF($B362="","",IFERROR(INDEX(원장입력!$F$5:$F$204,MATCH($B362&amp;"#15",원장입력!$G$5:$G$204,0)),""))</f>
        <v/>
      </c>
    </row>
    <row r="379">
      <c r="C379" s="17">
        <f>IF($B362="","","원장 합계")</f>
        <v/>
      </c>
      <c r="D379" s="14">
        <f>IF($B362="","",SUMIFS(원장입력!$E$5:$E$204,원장입력!$B$5:$B$204,$B362))</f>
        <v/>
      </c>
      <c r="E379" s="14">
        <f>IF($B362="","",SUMIFS(원장입력!$F$5:$F$204,원장입력!$B$5:$B$204,$B362))</f>
        <v/>
      </c>
    </row>
    <row r="380">
      <c r="C380" s="17">
        <f>IF($B362="","","결산 조정")</f>
        <v/>
      </c>
      <c r="D380" s="14">
        <f>IF($B362="","",SUMIFS(결산조정!$B$5:$B$104,결산조정!$A$5:$A$104,$B362))</f>
        <v/>
      </c>
      <c r="E380" s="14">
        <f>IF($B362="","",SUMIFS(결산조정!$C$5:$C$104,결산조정!$A$5:$A$104,$B362))</f>
        <v/>
      </c>
    </row>
    <row r="381"/>
    <row r="382">
      <c r="A382" s="20">
        <f>IF($B383="","","결산 조정 명세서")</f>
        <v/>
      </c>
      <c r="E382" s="5">
        <f>IF($B383="","","대상 월: 2026-09")</f>
        <v/>
      </c>
    </row>
    <row r="383">
      <c r="A383" s="3">
        <f>IF($B383="","","계정과목:")</f>
        <v/>
      </c>
      <c r="B383" s="3">
        <f>IFERROR(INDEX(결산명세서!$B$5:$B$44,19),"")</f>
        <v/>
      </c>
      <c r="D383" s="3">
        <f>IF($B383="","","당월 잔액:")</f>
        <v/>
      </c>
      <c r="E383" s="21">
        <f>IF($B383="","",INDEX(결산명세서!$G$5:$G$44,19))</f>
        <v/>
      </c>
    </row>
    <row r="384">
      <c r="A384" s="6">
        <f>IF($B383="","","날짜")</f>
        <v/>
      </c>
      <c r="B384" s="6">
        <f>IF($B383="","","거래처")</f>
        <v/>
      </c>
      <c r="C384" s="6">
        <f>IF($B383="","","적요")</f>
        <v/>
      </c>
      <c r="D384" s="6">
        <f>IF($B383="","","차변")</f>
        <v/>
      </c>
      <c r="E384" s="6">
        <f>IF($B383="","","대변")</f>
        <v/>
      </c>
    </row>
    <row r="385">
      <c r="A385" s="12">
        <f>IF($B383="","",IFERROR(INDEX(원장입력!$A$5:$A$204,MATCH($B383&amp;"#1",원장입력!$G$5:$G$204,0)),""))</f>
        <v/>
      </c>
      <c r="B385" s="12">
        <f>IF($B383="","",IFERROR(INDEX(원장입력!$C$5:$C$204,MATCH($B383&amp;"#1",원장입력!$G$5:$G$204,0)),""))</f>
        <v/>
      </c>
      <c r="C385" s="12">
        <f>IF($B383="","",IFERROR(INDEX(원장입력!$D$5:$D$204,MATCH($B383&amp;"#1",원장입력!$G$5:$G$204,0)),""))</f>
        <v/>
      </c>
      <c r="D385" s="14">
        <f>IF($B383="","",IFERROR(INDEX(원장입력!$E$5:$E$204,MATCH($B383&amp;"#1",원장입력!$G$5:$G$204,0)),""))</f>
        <v/>
      </c>
      <c r="E385" s="14">
        <f>IF($B383="","",IFERROR(INDEX(원장입력!$F$5:$F$204,MATCH($B383&amp;"#1",원장입력!$G$5:$G$204,0)),""))</f>
        <v/>
      </c>
    </row>
    <row r="386">
      <c r="A386" s="12">
        <f>IF($B383="","",IFERROR(INDEX(원장입력!$A$5:$A$204,MATCH($B383&amp;"#2",원장입력!$G$5:$G$204,0)),""))</f>
        <v/>
      </c>
      <c r="B386" s="12">
        <f>IF($B383="","",IFERROR(INDEX(원장입력!$C$5:$C$204,MATCH($B383&amp;"#2",원장입력!$G$5:$G$204,0)),""))</f>
        <v/>
      </c>
      <c r="C386" s="12">
        <f>IF($B383="","",IFERROR(INDEX(원장입력!$D$5:$D$204,MATCH($B383&amp;"#2",원장입력!$G$5:$G$204,0)),""))</f>
        <v/>
      </c>
      <c r="D386" s="14">
        <f>IF($B383="","",IFERROR(INDEX(원장입력!$E$5:$E$204,MATCH($B383&amp;"#2",원장입력!$G$5:$G$204,0)),""))</f>
        <v/>
      </c>
      <c r="E386" s="14">
        <f>IF($B383="","",IFERROR(INDEX(원장입력!$F$5:$F$204,MATCH($B383&amp;"#2",원장입력!$G$5:$G$204,0)),""))</f>
        <v/>
      </c>
    </row>
    <row r="387">
      <c r="A387" s="12">
        <f>IF($B383="","",IFERROR(INDEX(원장입력!$A$5:$A$204,MATCH($B383&amp;"#3",원장입력!$G$5:$G$204,0)),""))</f>
        <v/>
      </c>
      <c r="B387" s="12">
        <f>IF($B383="","",IFERROR(INDEX(원장입력!$C$5:$C$204,MATCH($B383&amp;"#3",원장입력!$G$5:$G$204,0)),""))</f>
        <v/>
      </c>
      <c r="C387" s="12">
        <f>IF($B383="","",IFERROR(INDEX(원장입력!$D$5:$D$204,MATCH($B383&amp;"#3",원장입력!$G$5:$G$204,0)),""))</f>
        <v/>
      </c>
      <c r="D387" s="14">
        <f>IF($B383="","",IFERROR(INDEX(원장입력!$E$5:$E$204,MATCH($B383&amp;"#3",원장입력!$G$5:$G$204,0)),""))</f>
        <v/>
      </c>
      <c r="E387" s="14">
        <f>IF($B383="","",IFERROR(INDEX(원장입력!$F$5:$F$204,MATCH($B383&amp;"#3",원장입력!$G$5:$G$204,0)),""))</f>
        <v/>
      </c>
    </row>
    <row r="388">
      <c r="A388" s="12">
        <f>IF($B383="","",IFERROR(INDEX(원장입력!$A$5:$A$204,MATCH($B383&amp;"#4",원장입력!$G$5:$G$204,0)),""))</f>
        <v/>
      </c>
      <c r="B388" s="12">
        <f>IF($B383="","",IFERROR(INDEX(원장입력!$C$5:$C$204,MATCH($B383&amp;"#4",원장입력!$G$5:$G$204,0)),""))</f>
        <v/>
      </c>
      <c r="C388" s="12">
        <f>IF($B383="","",IFERROR(INDEX(원장입력!$D$5:$D$204,MATCH($B383&amp;"#4",원장입력!$G$5:$G$204,0)),""))</f>
        <v/>
      </c>
      <c r="D388" s="14">
        <f>IF($B383="","",IFERROR(INDEX(원장입력!$E$5:$E$204,MATCH($B383&amp;"#4",원장입력!$G$5:$G$204,0)),""))</f>
        <v/>
      </c>
      <c r="E388" s="14">
        <f>IF($B383="","",IFERROR(INDEX(원장입력!$F$5:$F$204,MATCH($B383&amp;"#4",원장입력!$G$5:$G$204,0)),""))</f>
        <v/>
      </c>
    </row>
    <row r="389">
      <c r="A389" s="12">
        <f>IF($B383="","",IFERROR(INDEX(원장입력!$A$5:$A$204,MATCH($B383&amp;"#5",원장입력!$G$5:$G$204,0)),""))</f>
        <v/>
      </c>
      <c r="B389" s="12">
        <f>IF($B383="","",IFERROR(INDEX(원장입력!$C$5:$C$204,MATCH($B383&amp;"#5",원장입력!$G$5:$G$204,0)),""))</f>
        <v/>
      </c>
      <c r="C389" s="12">
        <f>IF($B383="","",IFERROR(INDEX(원장입력!$D$5:$D$204,MATCH($B383&amp;"#5",원장입력!$G$5:$G$204,0)),""))</f>
        <v/>
      </c>
      <c r="D389" s="14">
        <f>IF($B383="","",IFERROR(INDEX(원장입력!$E$5:$E$204,MATCH($B383&amp;"#5",원장입력!$G$5:$G$204,0)),""))</f>
        <v/>
      </c>
      <c r="E389" s="14">
        <f>IF($B383="","",IFERROR(INDEX(원장입력!$F$5:$F$204,MATCH($B383&amp;"#5",원장입력!$G$5:$G$204,0)),""))</f>
        <v/>
      </c>
    </row>
    <row r="390">
      <c r="A390" s="12">
        <f>IF($B383="","",IFERROR(INDEX(원장입력!$A$5:$A$204,MATCH($B383&amp;"#6",원장입력!$G$5:$G$204,0)),""))</f>
        <v/>
      </c>
      <c r="B390" s="12">
        <f>IF($B383="","",IFERROR(INDEX(원장입력!$C$5:$C$204,MATCH($B383&amp;"#6",원장입력!$G$5:$G$204,0)),""))</f>
        <v/>
      </c>
      <c r="C390" s="12">
        <f>IF($B383="","",IFERROR(INDEX(원장입력!$D$5:$D$204,MATCH($B383&amp;"#6",원장입력!$G$5:$G$204,0)),""))</f>
        <v/>
      </c>
      <c r="D390" s="14">
        <f>IF($B383="","",IFERROR(INDEX(원장입력!$E$5:$E$204,MATCH($B383&amp;"#6",원장입력!$G$5:$G$204,0)),""))</f>
        <v/>
      </c>
      <c r="E390" s="14">
        <f>IF($B383="","",IFERROR(INDEX(원장입력!$F$5:$F$204,MATCH($B383&amp;"#6",원장입력!$G$5:$G$204,0)),""))</f>
        <v/>
      </c>
    </row>
    <row r="391">
      <c r="A391" s="12">
        <f>IF($B383="","",IFERROR(INDEX(원장입력!$A$5:$A$204,MATCH($B383&amp;"#7",원장입력!$G$5:$G$204,0)),""))</f>
        <v/>
      </c>
      <c r="B391" s="12">
        <f>IF($B383="","",IFERROR(INDEX(원장입력!$C$5:$C$204,MATCH($B383&amp;"#7",원장입력!$G$5:$G$204,0)),""))</f>
        <v/>
      </c>
      <c r="C391" s="12">
        <f>IF($B383="","",IFERROR(INDEX(원장입력!$D$5:$D$204,MATCH($B383&amp;"#7",원장입력!$G$5:$G$204,0)),""))</f>
        <v/>
      </c>
      <c r="D391" s="14">
        <f>IF($B383="","",IFERROR(INDEX(원장입력!$E$5:$E$204,MATCH($B383&amp;"#7",원장입력!$G$5:$G$204,0)),""))</f>
        <v/>
      </c>
      <c r="E391" s="14">
        <f>IF($B383="","",IFERROR(INDEX(원장입력!$F$5:$F$204,MATCH($B383&amp;"#7",원장입력!$G$5:$G$204,0)),""))</f>
        <v/>
      </c>
    </row>
    <row r="392">
      <c r="A392" s="12">
        <f>IF($B383="","",IFERROR(INDEX(원장입력!$A$5:$A$204,MATCH($B383&amp;"#8",원장입력!$G$5:$G$204,0)),""))</f>
        <v/>
      </c>
      <c r="B392" s="12">
        <f>IF($B383="","",IFERROR(INDEX(원장입력!$C$5:$C$204,MATCH($B383&amp;"#8",원장입력!$G$5:$G$204,0)),""))</f>
        <v/>
      </c>
      <c r="C392" s="12">
        <f>IF($B383="","",IFERROR(INDEX(원장입력!$D$5:$D$204,MATCH($B383&amp;"#8",원장입력!$G$5:$G$204,0)),""))</f>
        <v/>
      </c>
      <c r="D392" s="14">
        <f>IF($B383="","",IFERROR(INDEX(원장입력!$E$5:$E$204,MATCH($B383&amp;"#8",원장입력!$G$5:$G$204,0)),""))</f>
        <v/>
      </c>
      <c r="E392" s="14">
        <f>IF($B383="","",IFERROR(INDEX(원장입력!$F$5:$F$204,MATCH($B383&amp;"#8",원장입력!$G$5:$G$204,0)),""))</f>
        <v/>
      </c>
    </row>
    <row r="393">
      <c r="A393" s="12">
        <f>IF($B383="","",IFERROR(INDEX(원장입력!$A$5:$A$204,MATCH($B383&amp;"#9",원장입력!$G$5:$G$204,0)),""))</f>
        <v/>
      </c>
      <c r="B393" s="12">
        <f>IF($B383="","",IFERROR(INDEX(원장입력!$C$5:$C$204,MATCH($B383&amp;"#9",원장입력!$G$5:$G$204,0)),""))</f>
        <v/>
      </c>
      <c r="C393" s="12">
        <f>IF($B383="","",IFERROR(INDEX(원장입력!$D$5:$D$204,MATCH($B383&amp;"#9",원장입력!$G$5:$G$204,0)),""))</f>
        <v/>
      </c>
      <c r="D393" s="14">
        <f>IF($B383="","",IFERROR(INDEX(원장입력!$E$5:$E$204,MATCH($B383&amp;"#9",원장입력!$G$5:$G$204,0)),""))</f>
        <v/>
      </c>
      <c r="E393" s="14">
        <f>IF($B383="","",IFERROR(INDEX(원장입력!$F$5:$F$204,MATCH($B383&amp;"#9",원장입력!$G$5:$G$204,0)),""))</f>
        <v/>
      </c>
    </row>
    <row r="394">
      <c r="A394" s="12">
        <f>IF($B383="","",IFERROR(INDEX(원장입력!$A$5:$A$204,MATCH($B383&amp;"#10",원장입력!$G$5:$G$204,0)),""))</f>
        <v/>
      </c>
      <c r="B394" s="12">
        <f>IF($B383="","",IFERROR(INDEX(원장입력!$C$5:$C$204,MATCH($B383&amp;"#10",원장입력!$G$5:$G$204,0)),""))</f>
        <v/>
      </c>
      <c r="C394" s="12">
        <f>IF($B383="","",IFERROR(INDEX(원장입력!$D$5:$D$204,MATCH($B383&amp;"#10",원장입력!$G$5:$G$204,0)),""))</f>
        <v/>
      </c>
      <c r="D394" s="14">
        <f>IF($B383="","",IFERROR(INDEX(원장입력!$E$5:$E$204,MATCH($B383&amp;"#10",원장입력!$G$5:$G$204,0)),""))</f>
        <v/>
      </c>
      <c r="E394" s="14">
        <f>IF($B383="","",IFERROR(INDEX(원장입력!$F$5:$F$204,MATCH($B383&amp;"#10",원장입력!$G$5:$G$204,0)),""))</f>
        <v/>
      </c>
    </row>
    <row r="395">
      <c r="A395" s="12">
        <f>IF($B383="","",IFERROR(INDEX(원장입력!$A$5:$A$204,MATCH($B383&amp;"#11",원장입력!$G$5:$G$204,0)),""))</f>
        <v/>
      </c>
      <c r="B395" s="12">
        <f>IF($B383="","",IFERROR(INDEX(원장입력!$C$5:$C$204,MATCH($B383&amp;"#11",원장입력!$G$5:$G$204,0)),""))</f>
        <v/>
      </c>
      <c r="C395" s="12">
        <f>IF($B383="","",IFERROR(INDEX(원장입력!$D$5:$D$204,MATCH($B383&amp;"#11",원장입력!$G$5:$G$204,0)),""))</f>
        <v/>
      </c>
      <c r="D395" s="14">
        <f>IF($B383="","",IFERROR(INDEX(원장입력!$E$5:$E$204,MATCH($B383&amp;"#11",원장입력!$G$5:$G$204,0)),""))</f>
        <v/>
      </c>
      <c r="E395" s="14">
        <f>IF($B383="","",IFERROR(INDEX(원장입력!$F$5:$F$204,MATCH($B383&amp;"#11",원장입력!$G$5:$G$204,0)),""))</f>
        <v/>
      </c>
    </row>
    <row r="396">
      <c r="A396" s="12">
        <f>IF($B383="","",IFERROR(INDEX(원장입력!$A$5:$A$204,MATCH($B383&amp;"#12",원장입력!$G$5:$G$204,0)),""))</f>
        <v/>
      </c>
      <c r="B396" s="12">
        <f>IF($B383="","",IFERROR(INDEX(원장입력!$C$5:$C$204,MATCH($B383&amp;"#12",원장입력!$G$5:$G$204,0)),""))</f>
        <v/>
      </c>
      <c r="C396" s="12">
        <f>IF($B383="","",IFERROR(INDEX(원장입력!$D$5:$D$204,MATCH($B383&amp;"#12",원장입력!$G$5:$G$204,0)),""))</f>
        <v/>
      </c>
      <c r="D396" s="14">
        <f>IF($B383="","",IFERROR(INDEX(원장입력!$E$5:$E$204,MATCH($B383&amp;"#12",원장입력!$G$5:$G$204,0)),""))</f>
        <v/>
      </c>
      <c r="E396" s="14">
        <f>IF($B383="","",IFERROR(INDEX(원장입력!$F$5:$F$204,MATCH($B383&amp;"#12",원장입력!$G$5:$G$204,0)),""))</f>
        <v/>
      </c>
    </row>
    <row r="397">
      <c r="A397" s="12">
        <f>IF($B383="","",IFERROR(INDEX(원장입력!$A$5:$A$204,MATCH($B383&amp;"#13",원장입력!$G$5:$G$204,0)),""))</f>
        <v/>
      </c>
      <c r="B397" s="12">
        <f>IF($B383="","",IFERROR(INDEX(원장입력!$C$5:$C$204,MATCH($B383&amp;"#13",원장입력!$G$5:$G$204,0)),""))</f>
        <v/>
      </c>
      <c r="C397" s="12">
        <f>IF($B383="","",IFERROR(INDEX(원장입력!$D$5:$D$204,MATCH($B383&amp;"#13",원장입력!$G$5:$G$204,0)),""))</f>
        <v/>
      </c>
      <c r="D397" s="14">
        <f>IF($B383="","",IFERROR(INDEX(원장입력!$E$5:$E$204,MATCH($B383&amp;"#13",원장입력!$G$5:$G$204,0)),""))</f>
        <v/>
      </c>
      <c r="E397" s="14">
        <f>IF($B383="","",IFERROR(INDEX(원장입력!$F$5:$F$204,MATCH($B383&amp;"#13",원장입력!$G$5:$G$204,0)),""))</f>
        <v/>
      </c>
    </row>
    <row r="398">
      <c r="A398" s="12">
        <f>IF($B383="","",IFERROR(INDEX(원장입력!$A$5:$A$204,MATCH($B383&amp;"#14",원장입력!$G$5:$G$204,0)),""))</f>
        <v/>
      </c>
      <c r="B398" s="12">
        <f>IF($B383="","",IFERROR(INDEX(원장입력!$C$5:$C$204,MATCH($B383&amp;"#14",원장입력!$G$5:$G$204,0)),""))</f>
        <v/>
      </c>
      <c r="C398" s="12">
        <f>IF($B383="","",IFERROR(INDEX(원장입력!$D$5:$D$204,MATCH($B383&amp;"#14",원장입력!$G$5:$G$204,0)),""))</f>
        <v/>
      </c>
      <c r="D398" s="14">
        <f>IF($B383="","",IFERROR(INDEX(원장입력!$E$5:$E$204,MATCH($B383&amp;"#14",원장입력!$G$5:$G$204,0)),""))</f>
        <v/>
      </c>
      <c r="E398" s="14">
        <f>IF($B383="","",IFERROR(INDEX(원장입력!$F$5:$F$204,MATCH($B383&amp;"#14",원장입력!$G$5:$G$204,0)),""))</f>
        <v/>
      </c>
    </row>
    <row r="399">
      <c r="A399" s="12">
        <f>IF($B383="","",IFERROR(INDEX(원장입력!$A$5:$A$204,MATCH($B383&amp;"#15",원장입력!$G$5:$G$204,0)),""))</f>
        <v/>
      </c>
      <c r="B399" s="12">
        <f>IF($B383="","",IFERROR(INDEX(원장입력!$C$5:$C$204,MATCH($B383&amp;"#15",원장입력!$G$5:$G$204,0)),""))</f>
        <v/>
      </c>
      <c r="C399" s="12">
        <f>IF($B383="","",IFERROR(INDEX(원장입력!$D$5:$D$204,MATCH($B383&amp;"#15",원장입력!$G$5:$G$204,0)),""))</f>
        <v/>
      </c>
      <c r="D399" s="14">
        <f>IF($B383="","",IFERROR(INDEX(원장입력!$E$5:$E$204,MATCH($B383&amp;"#15",원장입력!$G$5:$G$204,0)),""))</f>
        <v/>
      </c>
      <c r="E399" s="14">
        <f>IF($B383="","",IFERROR(INDEX(원장입력!$F$5:$F$204,MATCH($B383&amp;"#15",원장입력!$G$5:$G$204,0)),""))</f>
        <v/>
      </c>
    </row>
    <row r="400">
      <c r="C400" s="17">
        <f>IF($B383="","","원장 합계")</f>
        <v/>
      </c>
      <c r="D400" s="14">
        <f>IF($B383="","",SUMIFS(원장입력!$E$5:$E$204,원장입력!$B$5:$B$204,$B383))</f>
        <v/>
      </c>
      <c r="E400" s="14">
        <f>IF($B383="","",SUMIFS(원장입력!$F$5:$F$204,원장입력!$B$5:$B$204,$B383))</f>
        <v/>
      </c>
    </row>
    <row r="401">
      <c r="C401" s="17">
        <f>IF($B383="","","결산 조정")</f>
        <v/>
      </c>
      <c r="D401" s="14">
        <f>IF($B383="","",SUMIFS(결산조정!$B$5:$B$104,결산조정!$A$5:$A$104,$B383))</f>
        <v/>
      </c>
      <c r="E401" s="14">
        <f>IF($B383="","",SUMIFS(결산조정!$C$5:$C$104,결산조정!$A$5:$A$104,$B383))</f>
        <v/>
      </c>
    </row>
    <row r="402"/>
    <row r="403">
      <c r="A403" s="20">
        <f>IF($B404="","","결산 조정 명세서")</f>
        <v/>
      </c>
      <c r="E403" s="5">
        <f>IF($B404="","","대상 월: 2026-09")</f>
        <v/>
      </c>
    </row>
    <row r="404">
      <c r="A404" s="3">
        <f>IF($B404="","","계정과목:")</f>
        <v/>
      </c>
      <c r="B404" s="3">
        <f>IFERROR(INDEX(결산명세서!$B$5:$B$44,20),"")</f>
        <v/>
      </c>
      <c r="D404" s="3">
        <f>IF($B404="","","당월 잔액:")</f>
        <v/>
      </c>
      <c r="E404" s="21">
        <f>IF($B404="","",INDEX(결산명세서!$G$5:$G$44,20))</f>
        <v/>
      </c>
    </row>
    <row r="405">
      <c r="A405" s="6">
        <f>IF($B404="","","날짜")</f>
        <v/>
      </c>
      <c r="B405" s="6">
        <f>IF($B404="","","거래처")</f>
        <v/>
      </c>
      <c r="C405" s="6">
        <f>IF($B404="","","적요")</f>
        <v/>
      </c>
      <c r="D405" s="6">
        <f>IF($B404="","","차변")</f>
        <v/>
      </c>
      <c r="E405" s="6">
        <f>IF($B404="","","대변")</f>
        <v/>
      </c>
    </row>
    <row r="406">
      <c r="A406" s="12">
        <f>IF($B404="","",IFERROR(INDEX(원장입력!$A$5:$A$204,MATCH($B404&amp;"#1",원장입력!$G$5:$G$204,0)),""))</f>
        <v/>
      </c>
      <c r="B406" s="12">
        <f>IF($B404="","",IFERROR(INDEX(원장입력!$C$5:$C$204,MATCH($B404&amp;"#1",원장입력!$G$5:$G$204,0)),""))</f>
        <v/>
      </c>
      <c r="C406" s="12">
        <f>IF($B404="","",IFERROR(INDEX(원장입력!$D$5:$D$204,MATCH($B404&amp;"#1",원장입력!$G$5:$G$204,0)),""))</f>
        <v/>
      </c>
      <c r="D406" s="14">
        <f>IF($B404="","",IFERROR(INDEX(원장입력!$E$5:$E$204,MATCH($B404&amp;"#1",원장입력!$G$5:$G$204,0)),""))</f>
        <v/>
      </c>
      <c r="E406" s="14">
        <f>IF($B404="","",IFERROR(INDEX(원장입력!$F$5:$F$204,MATCH($B404&amp;"#1",원장입력!$G$5:$G$204,0)),""))</f>
        <v/>
      </c>
    </row>
    <row r="407">
      <c r="A407" s="12">
        <f>IF($B404="","",IFERROR(INDEX(원장입력!$A$5:$A$204,MATCH($B404&amp;"#2",원장입력!$G$5:$G$204,0)),""))</f>
        <v/>
      </c>
      <c r="B407" s="12">
        <f>IF($B404="","",IFERROR(INDEX(원장입력!$C$5:$C$204,MATCH($B404&amp;"#2",원장입력!$G$5:$G$204,0)),""))</f>
        <v/>
      </c>
      <c r="C407" s="12">
        <f>IF($B404="","",IFERROR(INDEX(원장입력!$D$5:$D$204,MATCH($B404&amp;"#2",원장입력!$G$5:$G$204,0)),""))</f>
        <v/>
      </c>
      <c r="D407" s="14">
        <f>IF($B404="","",IFERROR(INDEX(원장입력!$E$5:$E$204,MATCH($B404&amp;"#2",원장입력!$G$5:$G$204,0)),""))</f>
        <v/>
      </c>
      <c r="E407" s="14">
        <f>IF($B404="","",IFERROR(INDEX(원장입력!$F$5:$F$204,MATCH($B404&amp;"#2",원장입력!$G$5:$G$204,0)),""))</f>
        <v/>
      </c>
    </row>
    <row r="408">
      <c r="A408" s="12">
        <f>IF($B404="","",IFERROR(INDEX(원장입력!$A$5:$A$204,MATCH($B404&amp;"#3",원장입력!$G$5:$G$204,0)),""))</f>
        <v/>
      </c>
      <c r="B408" s="12">
        <f>IF($B404="","",IFERROR(INDEX(원장입력!$C$5:$C$204,MATCH($B404&amp;"#3",원장입력!$G$5:$G$204,0)),""))</f>
        <v/>
      </c>
      <c r="C408" s="12">
        <f>IF($B404="","",IFERROR(INDEX(원장입력!$D$5:$D$204,MATCH($B404&amp;"#3",원장입력!$G$5:$G$204,0)),""))</f>
        <v/>
      </c>
      <c r="D408" s="14">
        <f>IF($B404="","",IFERROR(INDEX(원장입력!$E$5:$E$204,MATCH($B404&amp;"#3",원장입력!$G$5:$G$204,0)),""))</f>
        <v/>
      </c>
      <c r="E408" s="14">
        <f>IF($B404="","",IFERROR(INDEX(원장입력!$F$5:$F$204,MATCH($B404&amp;"#3",원장입력!$G$5:$G$204,0)),""))</f>
        <v/>
      </c>
    </row>
    <row r="409">
      <c r="A409" s="12">
        <f>IF($B404="","",IFERROR(INDEX(원장입력!$A$5:$A$204,MATCH($B404&amp;"#4",원장입력!$G$5:$G$204,0)),""))</f>
        <v/>
      </c>
      <c r="B409" s="12">
        <f>IF($B404="","",IFERROR(INDEX(원장입력!$C$5:$C$204,MATCH($B404&amp;"#4",원장입력!$G$5:$G$204,0)),""))</f>
        <v/>
      </c>
      <c r="C409" s="12">
        <f>IF($B404="","",IFERROR(INDEX(원장입력!$D$5:$D$204,MATCH($B404&amp;"#4",원장입력!$G$5:$G$204,0)),""))</f>
        <v/>
      </c>
      <c r="D409" s="14">
        <f>IF($B404="","",IFERROR(INDEX(원장입력!$E$5:$E$204,MATCH($B404&amp;"#4",원장입력!$G$5:$G$204,0)),""))</f>
        <v/>
      </c>
      <c r="E409" s="14">
        <f>IF($B404="","",IFERROR(INDEX(원장입력!$F$5:$F$204,MATCH($B404&amp;"#4",원장입력!$G$5:$G$204,0)),""))</f>
        <v/>
      </c>
    </row>
    <row r="410">
      <c r="A410" s="12">
        <f>IF($B404="","",IFERROR(INDEX(원장입력!$A$5:$A$204,MATCH($B404&amp;"#5",원장입력!$G$5:$G$204,0)),""))</f>
        <v/>
      </c>
      <c r="B410" s="12">
        <f>IF($B404="","",IFERROR(INDEX(원장입력!$C$5:$C$204,MATCH($B404&amp;"#5",원장입력!$G$5:$G$204,0)),""))</f>
        <v/>
      </c>
      <c r="C410" s="12">
        <f>IF($B404="","",IFERROR(INDEX(원장입력!$D$5:$D$204,MATCH($B404&amp;"#5",원장입력!$G$5:$G$204,0)),""))</f>
        <v/>
      </c>
      <c r="D410" s="14">
        <f>IF($B404="","",IFERROR(INDEX(원장입력!$E$5:$E$204,MATCH($B404&amp;"#5",원장입력!$G$5:$G$204,0)),""))</f>
        <v/>
      </c>
      <c r="E410" s="14">
        <f>IF($B404="","",IFERROR(INDEX(원장입력!$F$5:$F$204,MATCH($B404&amp;"#5",원장입력!$G$5:$G$204,0)),""))</f>
        <v/>
      </c>
    </row>
    <row r="411">
      <c r="A411" s="12">
        <f>IF($B404="","",IFERROR(INDEX(원장입력!$A$5:$A$204,MATCH($B404&amp;"#6",원장입력!$G$5:$G$204,0)),""))</f>
        <v/>
      </c>
      <c r="B411" s="12">
        <f>IF($B404="","",IFERROR(INDEX(원장입력!$C$5:$C$204,MATCH($B404&amp;"#6",원장입력!$G$5:$G$204,0)),""))</f>
        <v/>
      </c>
      <c r="C411" s="12">
        <f>IF($B404="","",IFERROR(INDEX(원장입력!$D$5:$D$204,MATCH($B404&amp;"#6",원장입력!$G$5:$G$204,0)),""))</f>
        <v/>
      </c>
      <c r="D411" s="14">
        <f>IF($B404="","",IFERROR(INDEX(원장입력!$E$5:$E$204,MATCH($B404&amp;"#6",원장입력!$G$5:$G$204,0)),""))</f>
        <v/>
      </c>
      <c r="E411" s="14">
        <f>IF($B404="","",IFERROR(INDEX(원장입력!$F$5:$F$204,MATCH($B404&amp;"#6",원장입력!$G$5:$G$204,0)),""))</f>
        <v/>
      </c>
    </row>
    <row r="412">
      <c r="A412" s="12">
        <f>IF($B404="","",IFERROR(INDEX(원장입력!$A$5:$A$204,MATCH($B404&amp;"#7",원장입력!$G$5:$G$204,0)),""))</f>
        <v/>
      </c>
      <c r="B412" s="12">
        <f>IF($B404="","",IFERROR(INDEX(원장입력!$C$5:$C$204,MATCH($B404&amp;"#7",원장입력!$G$5:$G$204,0)),""))</f>
        <v/>
      </c>
      <c r="C412" s="12">
        <f>IF($B404="","",IFERROR(INDEX(원장입력!$D$5:$D$204,MATCH($B404&amp;"#7",원장입력!$G$5:$G$204,0)),""))</f>
        <v/>
      </c>
      <c r="D412" s="14">
        <f>IF($B404="","",IFERROR(INDEX(원장입력!$E$5:$E$204,MATCH($B404&amp;"#7",원장입력!$G$5:$G$204,0)),""))</f>
        <v/>
      </c>
      <c r="E412" s="14">
        <f>IF($B404="","",IFERROR(INDEX(원장입력!$F$5:$F$204,MATCH($B404&amp;"#7",원장입력!$G$5:$G$204,0)),""))</f>
        <v/>
      </c>
    </row>
    <row r="413">
      <c r="A413" s="12">
        <f>IF($B404="","",IFERROR(INDEX(원장입력!$A$5:$A$204,MATCH($B404&amp;"#8",원장입력!$G$5:$G$204,0)),""))</f>
        <v/>
      </c>
      <c r="B413" s="12">
        <f>IF($B404="","",IFERROR(INDEX(원장입력!$C$5:$C$204,MATCH($B404&amp;"#8",원장입력!$G$5:$G$204,0)),""))</f>
        <v/>
      </c>
      <c r="C413" s="12">
        <f>IF($B404="","",IFERROR(INDEX(원장입력!$D$5:$D$204,MATCH($B404&amp;"#8",원장입력!$G$5:$G$204,0)),""))</f>
        <v/>
      </c>
      <c r="D413" s="14">
        <f>IF($B404="","",IFERROR(INDEX(원장입력!$E$5:$E$204,MATCH($B404&amp;"#8",원장입력!$G$5:$G$204,0)),""))</f>
        <v/>
      </c>
      <c r="E413" s="14">
        <f>IF($B404="","",IFERROR(INDEX(원장입력!$F$5:$F$204,MATCH($B404&amp;"#8",원장입력!$G$5:$G$204,0)),""))</f>
        <v/>
      </c>
    </row>
    <row r="414">
      <c r="A414" s="12">
        <f>IF($B404="","",IFERROR(INDEX(원장입력!$A$5:$A$204,MATCH($B404&amp;"#9",원장입력!$G$5:$G$204,0)),""))</f>
        <v/>
      </c>
      <c r="B414" s="12">
        <f>IF($B404="","",IFERROR(INDEX(원장입력!$C$5:$C$204,MATCH($B404&amp;"#9",원장입력!$G$5:$G$204,0)),""))</f>
        <v/>
      </c>
      <c r="C414" s="12">
        <f>IF($B404="","",IFERROR(INDEX(원장입력!$D$5:$D$204,MATCH($B404&amp;"#9",원장입력!$G$5:$G$204,0)),""))</f>
        <v/>
      </c>
      <c r="D414" s="14">
        <f>IF($B404="","",IFERROR(INDEX(원장입력!$E$5:$E$204,MATCH($B404&amp;"#9",원장입력!$G$5:$G$204,0)),""))</f>
        <v/>
      </c>
      <c r="E414" s="14">
        <f>IF($B404="","",IFERROR(INDEX(원장입력!$F$5:$F$204,MATCH($B404&amp;"#9",원장입력!$G$5:$G$204,0)),""))</f>
        <v/>
      </c>
    </row>
    <row r="415">
      <c r="A415" s="12">
        <f>IF($B404="","",IFERROR(INDEX(원장입력!$A$5:$A$204,MATCH($B404&amp;"#10",원장입력!$G$5:$G$204,0)),""))</f>
        <v/>
      </c>
      <c r="B415" s="12">
        <f>IF($B404="","",IFERROR(INDEX(원장입력!$C$5:$C$204,MATCH($B404&amp;"#10",원장입력!$G$5:$G$204,0)),""))</f>
        <v/>
      </c>
      <c r="C415" s="12">
        <f>IF($B404="","",IFERROR(INDEX(원장입력!$D$5:$D$204,MATCH($B404&amp;"#10",원장입력!$G$5:$G$204,0)),""))</f>
        <v/>
      </c>
      <c r="D415" s="14">
        <f>IF($B404="","",IFERROR(INDEX(원장입력!$E$5:$E$204,MATCH($B404&amp;"#10",원장입력!$G$5:$G$204,0)),""))</f>
        <v/>
      </c>
      <c r="E415" s="14">
        <f>IF($B404="","",IFERROR(INDEX(원장입력!$F$5:$F$204,MATCH($B404&amp;"#10",원장입력!$G$5:$G$204,0)),""))</f>
        <v/>
      </c>
    </row>
    <row r="416">
      <c r="A416" s="12">
        <f>IF($B404="","",IFERROR(INDEX(원장입력!$A$5:$A$204,MATCH($B404&amp;"#11",원장입력!$G$5:$G$204,0)),""))</f>
        <v/>
      </c>
      <c r="B416" s="12">
        <f>IF($B404="","",IFERROR(INDEX(원장입력!$C$5:$C$204,MATCH($B404&amp;"#11",원장입력!$G$5:$G$204,0)),""))</f>
        <v/>
      </c>
      <c r="C416" s="12">
        <f>IF($B404="","",IFERROR(INDEX(원장입력!$D$5:$D$204,MATCH($B404&amp;"#11",원장입력!$G$5:$G$204,0)),""))</f>
        <v/>
      </c>
      <c r="D416" s="14">
        <f>IF($B404="","",IFERROR(INDEX(원장입력!$E$5:$E$204,MATCH($B404&amp;"#11",원장입력!$G$5:$G$204,0)),""))</f>
        <v/>
      </c>
      <c r="E416" s="14">
        <f>IF($B404="","",IFERROR(INDEX(원장입력!$F$5:$F$204,MATCH($B404&amp;"#11",원장입력!$G$5:$G$204,0)),""))</f>
        <v/>
      </c>
    </row>
    <row r="417">
      <c r="A417" s="12">
        <f>IF($B404="","",IFERROR(INDEX(원장입력!$A$5:$A$204,MATCH($B404&amp;"#12",원장입력!$G$5:$G$204,0)),""))</f>
        <v/>
      </c>
      <c r="B417" s="12">
        <f>IF($B404="","",IFERROR(INDEX(원장입력!$C$5:$C$204,MATCH($B404&amp;"#12",원장입력!$G$5:$G$204,0)),""))</f>
        <v/>
      </c>
      <c r="C417" s="12">
        <f>IF($B404="","",IFERROR(INDEX(원장입력!$D$5:$D$204,MATCH($B404&amp;"#12",원장입력!$G$5:$G$204,0)),""))</f>
        <v/>
      </c>
      <c r="D417" s="14">
        <f>IF($B404="","",IFERROR(INDEX(원장입력!$E$5:$E$204,MATCH($B404&amp;"#12",원장입력!$G$5:$G$204,0)),""))</f>
        <v/>
      </c>
      <c r="E417" s="14">
        <f>IF($B404="","",IFERROR(INDEX(원장입력!$F$5:$F$204,MATCH($B404&amp;"#12",원장입력!$G$5:$G$204,0)),""))</f>
        <v/>
      </c>
    </row>
    <row r="418">
      <c r="A418" s="12">
        <f>IF($B404="","",IFERROR(INDEX(원장입력!$A$5:$A$204,MATCH($B404&amp;"#13",원장입력!$G$5:$G$204,0)),""))</f>
        <v/>
      </c>
      <c r="B418" s="12">
        <f>IF($B404="","",IFERROR(INDEX(원장입력!$C$5:$C$204,MATCH($B404&amp;"#13",원장입력!$G$5:$G$204,0)),""))</f>
        <v/>
      </c>
      <c r="C418" s="12">
        <f>IF($B404="","",IFERROR(INDEX(원장입력!$D$5:$D$204,MATCH($B404&amp;"#13",원장입력!$G$5:$G$204,0)),""))</f>
        <v/>
      </c>
      <c r="D418" s="14">
        <f>IF($B404="","",IFERROR(INDEX(원장입력!$E$5:$E$204,MATCH($B404&amp;"#13",원장입력!$G$5:$G$204,0)),""))</f>
        <v/>
      </c>
      <c r="E418" s="14">
        <f>IF($B404="","",IFERROR(INDEX(원장입력!$F$5:$F$204,MATCH($B404&amp;"#13",원장입력!$G$5:$G$204,0)),""))</f>
        <v/>
      </c>
    </row>
    <row r="419">
      <c r="A419" s="12">
        <f>IF($B404="","",IFERROR(INDEX(원장입력!$A$5:$A$204,MATCH($B404&amp;"#14",원장입력!$G$5:$G$204,0)),""))</f>
        <v/>
      </c>
      <c r="B419" s="12">
        <f>IF($B404="","",IFERROR(INDEX(원장입력!$C$5:$C$204,MATCH($B404&amp;"#14",원장입력!$G$5:$G$204,0)),""))</f>
        <v/>
      </c>
      <c r="C419" s="12">
        <f>IF($B404="","",IFERROR(INDEX(원장입력!$D$5:$D$204,MATCH($B404&amp;"#14",원장입력!$G$5:$G$204,0)),""))</f>
        <v/>
      </c>
      <c r="D419" s="14">
        <f>IF($B404="","",IFERROR(INDEX(원장입력!$E$5:$E$204,MATCH($B404&amp;"#14",원장입력!$G$5:$G$204,0)),""))</f>
        <v/>
      </c>
      <c r="E419" s="14">
        <f>IF($B404="","",IFERROR(INDEX(원장입력!$F$5:$F$204,MATCH($B404&amp;"#14",원장입력!$G$5:$G$204,0)),""))</f>
        <v/>
      </c>
    </row>
    <row r="420">
      <c r="A420" s="12">
        <f>IF($B404="","",IFERROR(INDEX(원장입력!$A$5:$A$204,MATCH($B404&amp;"#15",원장입력!$G$5:$G$204,0)),""))</f>
        <v/>
      </c>
      <c r="B420" s="12">
        <f>IF($B404="","",IFERROR(INDEX(원장입력!$C$5:$C$204,MATCH($B404&amp;"#15",원장입력!$G$5:$G$204,0)),""))</f>
        <v/>
      </c>
      <c r="C420" s="12">
        <f>IF($B404="","",IFERROR(INDEX(원장입력!$D$5:$D$204,MATCH($B404&amp;"#15",원장입력!$G$5:$G$204,0)),""))</f>
        <v/>
      </c>
      <c r="D420" s="14">
        <f>IF($B404="","",IFERROR(INDEX(원장입력!$E$5:$E$204,MATCH($B404&amp;"#15",원장입력!$G$5:$G$204,0)),""))</f>
        <v/>
      </c>
      <c r="E420" s="14">
        <f>IF($B404="","",IFERROR(INDEX(원장입력!$F$5:$F$204,MATCH($B404&amp;"#15",원장입력!$G$5:$G$204,0)),""))</f>
        <v/>
      </c>
    </row>
    <row r="421">
      <c r="C421" s="17">
        <f>IF($B404="","","원장 합계")</f>
        <v/>
      </c>
      <c r="D421" s="14">
        <f>IF($B404="","",SUMIFS(원장입력!$E$5:$E$204,원장입력!$B$5:$B$204,$B404))</f>
        <v/>
      </c>
      <c r="E421" s="14">
        <f>IF($B404="","",SUMIFS(원장입력!$F$5:$F$204,원장입력!$B$5:$B$204,$B404))</f>
        <v/>
      </c>
    </row>
    <row r="422">
      <c r="C422" s="17">
        <f>IF($B404="","","결산 조정")</f>
        <v/>
      </c>
      <c r="D422" s="14">
        <f>IF($B404="","",SUMIFS(결산조정!$B$5:$B$104,결산조정!$A$5:$A$104,$B404))</f>
        <v/>
      </c>
      <c r="E422" s="14">
        <f>IF($B404="","",SUMIFS(결산조정!$C$5:$C$104,결산조정!$A$5:$A$104,$B404))</f>
        <v/>
      </c>
    </row>
  </sheetData>
  <pageMargins left="0.75" right="0.75" top="1" bottom="1" header="0.5" footer="0.5"/>
  <pageSetup fitToHeight="0" fitToWidth="1"/>
  <rowBreaks count="20" manualBreakCount="20">
    <brk id="24" min="0" max="16383" man="1"/>
    <brk id="45" min="0" max="16383" man="1"/>
    <brk id="66" min="0" max="16383" man="1"/>
    <brk id="87" min="0" max="16383" man="1"/>
    <brk id="108" min="0" max="16383" man="1"/>
    <brk id="129" min="0" max="16383" man="1"/>
    <brk id="150" min="0" max="16383" man="1"/>
    <brk id="171" min="0" max="16383" man="1"/>
    <brk id="192" min="0" max="16383" man="1"/>
    <brk id="213" min="0" max="16383" man="1"/>
    <brk id="234" min="0" max="16383" man="1"/>
    <brk id="255" min="0" max="16383" man="1"/>
    <brk id="276" min="0" max="16383" man="1"/>
    <brk id="297" min="0" max="16383" man="1"/>
    <brk id="318" min="0" max="16383" man="1"/>
    <brk id="339" min="0" max="16383" man="1"/>
    <brk id="360" min="0" max="16383" man="1"/>
    <brk id="381" min="0" max="16383" man="1"/>
    <brk id="402" min="0" max="16383" man="1"/>
    <brk id="42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2026-09-16T05:49:34Z</dcterms:created>
  <dcterms:modified xsi:type="dcterms:W3CDTF">2026-09-16T05:49:34Z</dcterms:modified>
</cp:coreProperties>
</file>